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xr:revisionPtr revIDLastSave="0" documentId="13_ncr:1_{3140E23F-F1FE-4CB9-9B3F-9F298B59D5A8}" xr6:coauthVersionLast="47" xr6:coauthVersionMax="47" xr10:uidLastSave="{00000000-0000-0000-0000-000000000000}"/>
  <bookViews>
    <workbookView xWindow="-110" yWindow="-110" windowWidth="19420" windowHeight="10300" xr2:uid="{8EFF98C8-67FF-4B5B-A2E0-3C7E22F71E8D}"/>
  </bookViews>
  <sheets>
    <sheet name="DCF Valuation " sheetId="4" r:id="rId1"/>
    <sheet name="Comps " sheetId="3" r:id="rId2"/>
    <sheet name="Data Sheet" sheetId="1" r:id="rId3"/>
    <sheet name="comps data" sheetId="5" r:id="rId4"/>
  </sheets>
  <externalReferences>
    <externalReference r:id="rId5"/>
  </externalReferences>
  <definedNames>
    <definedName name="Taper_rate">'DCF Valuation '!$C$21</definedName>
    <definedName name="Tax_Rate">'DCF Valuation '!$C$25</definedName>
    <definedName name="taxrate">'[1]DCF Modelling'!$C$26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" i="3" l="1"/>
  <c r="L11" i="3"/>
  <c r="L12" i="3"/>
  <c r="L13" i="3"/>
  <c r="L14" i="3"/>
  <c r="B161" i="4" l="1"/>
  <c r="B162" i="4" s="1"/>
  <c r="B163" i="4" s="1"/>
  <c r="C150" i="4"/>
  <c r="C118" i="4"/>
  <c r="C110" i="4"/>
  <c r="C109" i="4"/>
  <c r="C24" i="4"/>
  <c r="C106" i="4"/>
  <c r="C105" i="4"/>
  <c r="C107" i="4" s="1"/>
  <c r="H20" i="3"/>
  <c r="H21" i="3"/>
  <c r="H22" i="3"/>
  <c r="H23" i="3"/>
  <c r="G20" i="3"/>
  <c r="G21" i="3"/>
  <c r="G22" i="3"/>
  <c r="G23" i="3"/>
  <c r="K10" i="3"/>
  <c r="H32" i="3" s="1"/>
  <c r="K11" i="3"/>
  <c r="H33" i="3" s="1"/>
  <c r="K12" i="3"/>
  <c r="H34" i="3" s="1"/>
  <c r="K13" i="3"/>
  <c r="H35" i="3" s="1"/>
  <c r="K14" i="3"/>
  <c r="H40" i="3" s="1"/>
  <c r="J10" i="3"/>
  <c r="G32" i="3" s="1"/>
  <c r="J11" i="3"/>
  <c r="D21" i="3" s="1"/>
  <c r="J12" i="3"/>
  <c r="G34" i="3" s="1"/>
  <c r="J13" i="3"/>
  <c r="G35" i="3" s="1"/>
  <c r="J14" i="3"/>
  <c r="G40" i="3" s="1"/>
  <c r="H10" i="3"/>
  <c r="L32" i="3" s="1"/>
  <c r="H11" i="3"/>
  <c r="L33" i="3" s="1"/>
  <c r="H12" i="3"/>
  <c r="L34" i="3" s="1"/>
  <c r="H13" i="3"/>
  <c r="L35" i="3" s="1"/>
  <c r="H14" i="3"/>
  <c r="L40" i="3" s="1"/>
  <c r="G10" i="3"/>
  <c r="K32" i="3" s="1"/>
  <c r="G11" i="3"/>
  <c r="K33" i="3" s="1"/>
  <c r="G12" i="3"/>
  <c r="K34" i="3" s="1"/>
  <c r="G13" i="3"/>
  <c r="K35" i="3" s="1"/>
  <c r="G14" i="3"/>
  <c r="K40" i="3" s="1"/>
  <c r="F10" i="3"/>
  <c r="J32" i="3" s="1"/>
  <c r="F11" i="3"/>
  <c r="J33" i="3" s="1"/>
  <c r="F12" i="3"/>
  <c r="J34" i="3" s="1"/>
  <c r="F13" i="3"/>
  <c r="J35" i="3" s="1"/>
  <c r="F14" i="3"/>
  <c r="J40" i="3" s="1"/>
  <c r="E10" i="3"/>
  <c r="F32" i="3" s="1"/>
  <c r="E11" i="3"/>
  <c r="F33" i="3" s="1"/>
  <c r="E12" i="3"/>
  <c r="F34" i="3" s="1"/>
  <c r="E13" i="3"/>
  <c r="F35" i="3" s="1"/>
  <c r="E14" i="3"/>
  <c r="F40" i="3" s="1"/>
  <c r="D10" i="3"/>
  <c r="D32" i="3" s="1"/>
  <c r="D11" i="3"/>
  <c r="D33" i="3" s="1"/>
  <c r="D12" i="3"/>
  <c r="D34" i="3" s="1"/>
  <c r="D13" i="3"/>
  <c r="D35" i="3" s="1"/>
  <c r="D14" i="3"/>
  <c r="D40" i="3" s="1"/>
  <c r="B10" i="3"/>
  <c r="B20" i="3" s="1"/>
  <c r="B32" i="3" s="1"/>
  <c r="B11" i="3"/>
  <c r="B21" i="3" s="1"/>
  <c r="B33" i="3" s="1"/>
  <c r="B12" i="3"/>
  <c r="B22" i="3" s="1"/>
  <c r="B34" i="3" s="1"/>
  <c r="B13" i="3"/>
  <c r="B23" i="3" s="1"/>
  <c r="B35" i="3" s="1"/>
  <c r="B14" i="3"/>
  <c r="B40" i="3" s="1"/>
  <c r="I77" i="1"/>
  <c r="I78" i="1" s="1"/>
  <c r="J77" i="1"/>
  <c r="J78" i="1" s="1"/>
  <c r="K77" i="1"/>
  <c r="K78" i="1" s="1"/>
  <c r="I76" i="1"/>
  <c r="J76" i="1"/>
  <c r="K76" i="1"/>
  <c r="I75" i="1"/>
  <c r="J75" i="1"/>
  <c r="K75" i="1"/>
  <c r="C22" i="3" l="1"/>
  <c r="D22" i="3"/>
  <c r="F22" i="3" s="1"/>
  <c r="H25" i="3"/>
  <c r="C111" i="4" s="1"/>
  <c r="C112" i="4" s="1"/>
  <c r="H24" i="3"/>
  <c r="C102" i="4"/>
  <c r="C147" i="4" s="1"/>
  <c r="O34" i="3"/>
  <c r="O35" i="3"/>
  <c r="I35" i="3"/>
  <c r="E35" i="3"/>
  <c r="E33" i="3"/>
  <c r="O33" i="3"/>
  <c r="I40" i="3"/>
  <c r="O40" i="3"/>
  <c r="E40" i="3"/>
  <c r="E32" i="3"/>
  <c r="O32" i="3"/>
  <c r="I32" i="3"/>
  <c r="E43" i="3"/>
  <c r="E44" i="3"/>
  <c r="E45" i="3"/>
  <c r="C152" i="4"/>
  <c r="G33" i="3"/>
  <c r="I33" i="3" s="1"/>
  <c r="C23" i="3"/>
  <c r="D23" i="3"/>
  <c r="C101" i="4"/>
  <c r="C148" i="4"/>
  <c r="E34" i="3"/>
  <c r="C21" i="3"/>
  <c r="F21" i="3" s="1"/>
  <c r="I34" i="3"/>
  <c r="C20" i="3"/>
  <c r="D20" i="3"/>
  <c r="G24" i="3"/>
  <c r="B160" i="4"/>
  <c r="B159" i="4" s="1"/>
  <c r="G25" i="3"/>
  <c r="E22" i="3" l="1"/>
  <c r="I22" i="3" s="1"/>
  <c r="E21" i="3"/>
  <c r="I21" i="3" s="1"/>
  <c r="C103" i="4"/>
  <c r="N33" i="3"/>
  <c r="M33" i="3"/>
  <c r="G45" i="3"/>
  <c r="G43" i="3"/>
  <c r="G44" i="3"/>
  <c r="C25" i="3"/>
  <c r="C24" i="3"/>
  <c r="F23" i="3"/>
  <c r="E23" i="3"/>
  <c r="I23" i="3" s="1"/>
  <c r="O38" i="3"/>
  <c r="C45" i="3" s="1"/>
  <c r="F45" i="3" s="1"/>
  <c r="O37" i="3"/>
  <c r="N40" i="3"/>
  <c r="M40" i="3"/>
  <c r="N35" i="3"/>
  <c r="M35" i="3"/>
  <c r="D24" i="3"/>
  <c r="F20" i="3"/>
  <c r="E20" i="3"/>
  <c r="D25" i="3"/>
  <c r="N32" i="3"/>
  <c r="M32" i="3"/>
  <c r="N34" i="3"/>
  <c r="M34" i="3"/>
  <c r="N37" i="3" l="1"/>
  <c r="N38" i="3"/>
  <c r="C44" i="3" s="1"/>
  <c r="D44" i="3" s="1"/>
  <c r="F44" i="3" s="1"/>
  <c r="H44" i="3" s="1"/>
  <c r="E25" i="3"/>
  <c r="I20" i="3"/>
  <c r="E24" i="3"/>
  <c r="H45" i="3"/>
  <c r="D45" i="3"/>
  <c r="M38" i="3"/>
  <c r="C43" i="3" s="1"/>
  <c r="D43" i="3" s="1"/>
  <c r="F43" i="3" s="1"/>
  <c r="H43" i="3" s="1"/>
  <c r="M37" i="3"/>
  <c r="F25" i="3"/>
  <c r="C98" i="4" s="1"/>
  <c r="C99" i="4" s="1"/>
  <c r="C113" i="4" s="1"/>
  <c r="F24" i="3"/>
  <c r="I24" i="3" l="1"/>
  <c r="I25" i="3"/>
  <c r="H126" i="4"/>
  <c r="E158" i="4"/>
  <c r="G126" i="4"/>
  <c r="D126" i="4"/>
  <c r="F126" i="4"/>
  <c r="E126" i="4"/>
  <c r="C126" i="4"/>
  <c r="F158" i="4" l="1"/>
  <c r="G158" i="4" s="1"/>
  <c r="D158" i="4"/>
  <c r="C158" i="4" s="1"/>
  <c r="C44" i="4" l="1"/>
  <c r="D44" i="4"/>
  <c r="E44" i="4"/>
  <c r="F44" i="4"/>
  <c r="G44" i="4"/>
  <c r="D85" i="4"/>
  <c r="E85" i="4"/>
  <c r="F85" i="4"/>
  <c r="G85" i="4"/>
  <c r="C85" i="4"/>
  <c r="C42" i="4"/>
  <c r="D77" i="4"/>
  <c r="C78" i="4" l="1"/>
  <c r="C80" i="4" s="1"/>
  <c r="D80" i="4" s="1"/>
  <c r="E80" i="4" s="1"/>
  <c r="F80" i="4" s="1"/>
  <c r="G80" i="4" s="1"/>
  <c r="C79" i="4" l="1"/>
  <c r="D79" i="4" s="1"/>
  <c r="E79" i="4" s="1"/>
  <c r="F79" i="4" s="1"/>
  <c r="G79" i="4" s="1"/>
  <c r="D78" i="4"/>
  <c r="C71" i="4"/>
  <c r="D71" i="4"/>
  <c r="E71" i="4"/>
  <c r="F71" i="4"/>
  <c r="G71" i="4"/>
  <c r="C70" i="4"/>
  <c r="D70" i="4"/>
  <c r="E70" i="4"/>
  <c r="F70" i="4"/>
  <c r="G70" i="4"/>
  <c r="C67" i="4"/>
  <c r="D67" i="4"/>
  <c r="E67" i="4"/>
  <c r="F67" i="4"/>
  <c r="G67" i="4"/>
  <c r="C68" i="4"/>
  <c r="D68" i="4"/>
  <c r="E68" i="4"/>
  <c r="F68" i="4"/>
  <c r="G68" i="4"/>
  <c r="C69" i="4"/>
  <c r="D69" i="4"/>
  <c r="E69" i="4"/>
  <c r="F69" i="4"/>
  <c r="G69" i="4"/>
  <c r="C64" i="4"/>
  <c r="D64" i="4"/>
  <c r="E64" i="4"/>
  <c r="F64" i="4"/>
  <c r="G64" i="4"/>
  <c r="C65" i="4"/>
  <c r="D65" i="4"/>
  <c r="E65" i="4"/>
  <c r="F65" i="4"/>
  <c r="G65" i="4"/>
  <c r="C66" i="4"/>
  <c r="D66" i="4"/>
  <c r="E66" i="4"/>
  <c r="F66" i="4"/>
  <c r="G66" i="4"/>
  <c r="C63" i="4"/>
  <c r="D63" i="4"/>
  <c r="E63" i="4"/>
  <c r="F63" i="4"/>
  <c r="G63" i="4"/>
  <c r="C59" i="4"/>
  <c r="D59" i="4"/>
  <c r="E59" i="4"/>
  <c r="F59" i="4"/>
  <c r="G59" i="4"/>
  <c r="C60" i="4"/>
  <c r="D60" i="4"/>
  <c r="E60" i="4"/>
  <c r="F60" i="4"/>
  <c r="G60" i="4"/>
  <c r="C61" i="4"/>
  <c r="D61" i="4"/>
  <c r="E61" i="4"/>
  <c r="F61" i="4"/>
  <c r="G61" i="4"/>
  <c r="C62" i="4"/>
  <c r="D62" i="4"/>
  <c r="E62" i="4"/>
  <c r="F62" i="4"/>
  <c r="G62" i="4"/>
  <c r="C55" i="4"/>
  <c r="D55" i="4"/>
  <c r="E55" i="4"/>
  <c r="F55" i="4"/>
  <c r="G55" i="4"/>
  <c r="C54" i="4"/>
  <c r="D54" i="4"/>
  <c r="E54" i="4"/>
  <c r="F54" i="4"/>
  <c r="G54" i="4"/>
  <c r="C53" i="4"/>
  <c r="D53" i="4"/>
  <c r="E53" i="4"/>
  <c r="F53" i="4"/>
  <c r="G53" i="4"/>
  <c r="C52" i="4"/>
  <c r="D52" i="4"/>
  <c r="E52" i="4"/>
  <c r="F52" i="4"/>
  <c r="G52" i="4"/>
  <c r="C51" i="4"/>
  <c r="D51" i="4"/>
  <c r="E51" i="4"/>
  <c r="F51" i="4"/>
  <c r="G51" i="4"/>
  <c r="C50" i="4"/>
  <c r="D50" i="4"/>
  <c r="E50" i="4"/>
  <c r="F50" i="4"/>
  <c r="G50" i="4"/>
  <c r="C49" i="4"/>
  <c r="D49" i="4"/>
  <c r="E49" i="4"/>
  <c r="F49" i="4"/>
  <c r="G49" i="4"/>
  <c r="C48" i="4"/>
  <c r="D48" i="4"/>
  <c r="E48" i="4"/>
  <c r="F48" i="4"/>
  <c r="G48" i="4"/>
  <c r="E78" i="4" l="1"/>
  <c r="F78" i="4" s="1"/>
  <c r="G78" i="4" s="1"/>
  <c r="C47" i="4"/>
  <c r="D47" i="4"/>
  <c r="E47" i="4"/>
  <c r="F47" i="4"/>
  <c r="G47" i="4"/>
  <c r="C46" i="4"/>
  <c r="D46" i="4"/>
  <c r="E46" i="4"/>
  <c r="F46" i="4"/>
  <c r="G46" i="4"/>
  <c r="C45" i="4"/>
  <c r="D45" i="4"/>
  <c r="E45" i="4"/>
  <c r="F45" i="4"/>
  <c r="G45" i="4"/>
  <c r="C43" i="4"/>
  <c r="D43" i="4"/>
  <c r="E43" i="4"/>
  <c r="F43" i="4"/>
  <c r="G43" i="4"/>
  <c r="D42" i="4"/>
  <c r="E42" i="4"/>
  <c r="F42" i="4"/>
  <c r="G42" i="4"/>
  <c r="C41" i="4"/>
  <c r="D41" i="4"/>
  <c r="E41" i="4"/>
  <c r="F41" i="4"/>
  <c r="G41" i="4"/>
  <c r="C40" i="4"/>
  <c r="D40" i="4"/>
  <c r="E40" i="4"/>
  <c r="F40" i="4"/>
  <c r="G40" i="4"/>
  <c r="C39" i="4"/>
  <c r="D39" i="4"/>
  <c r="E39" i="4"/>
  <c r="F39" i="4"/>
  <c r="G39" i="4"/>
  <c r="C38" i="4"/>
  <c r="D38" i="4"/>
  <c r="E38" i="4"/>
  <c r="F38" i="4"/>
  <c r="G38" i="4"/>
  <c r="C37" i="4"/>
  <c r="D37" i="4"/>
  <c r="E37" i="4"/>
  <c r="F37" i="4"/>
  <c r="G37" i="4"/>
  <c r="H34" i="4"/>
  <c r="C36" i="4"/>
  <c r="D36" i="4"/>
  <c r="E36" i="4"/>
  <c r="F36" i="4"/>
  <c r="G36" i="4"/>
  <c r="C35" i="4"/>
  <c r="D35" i="4"/>
  <c r="E35" i="4"/>
  <c r="F35" i="4"/>
  <c r="G35" i="4"/>
  <c r="D34" i="4"/>
  <c r="E34" i="4"/>
  <c r="F34" i="4"/>
  <c r="G34" i="4"/>
  <c r="C33" i="4"/>
  <c r="D33" i="4"/>
  <c r="E33" i="4"/>
  <c r="F33" i="4"/>
  <c r="G33" i="4"/>
  <c r="D58" i="4"/>
  <c r="C58" i="4"/>
  <c r="F32" i="4"/>
  <c r="F58" i="4" s="1"/>
  <c r="E32" i="4"/>
  <c r="E58" i="4" s="1"/>
  <c r="D32" i="4"/>
  <c r="C75" i="4" l="1" a="1"/>
  <c r="C75" i="4" s="1"/>
  <c r="C76" i="4" s="1"/>
  <c r="G32" i="4"/>
  <c r="G58" i="4" s="1"/>
  <c r="C84" i="4" l="1"/>
  <c r="D76" i="4"/>
  <c r="B6" i="1"/>
  <c r="E1" i="1"/>
  <c r="E76" i="4" l="1"/>
  <c r="D84" i="4"/>
  <c r="C87" i="4"/>
  <c r="C91" i="4" s="1"/>
  <c r="C86" i="4"/>
  <c r="C88" i="4" l="1"/>
  <c r="C89" i="4" s="1"/>
  <c r="C90" i="4" s="1"/>
  <c r="C92" i="4" s="1"/>
  <c r="D86" i="4"/>
  <c r="D87" i="4"/>
  <c r="D91" i="4" s="1"/>
  <c r="F76" i="4"/>
  <c r="E84" i="4"/>
  <c r="C93" i="4" l="1"/>
  <c r="C125" i="4" s="1"/>
  <c r="C127" i="4" s="1"/>
  <c r="E87" i="4"/>
  <c r="E91" i="4" s="1"/>
  <c r="E86" i="4"/>
  <c r="F84" i="4"/>
  <c r="G76" i="4"/>
  <c r="G84" i="4" s="1"/>
  <c r="D88" i="4"/>
  <c r="D89" i="4" s="1"/>
  <c r="D90" i="4" s="1"/>
  <c r="D92" i="4" s="1"/>
  <c r="E88" i="4" l="1"/>
  <c r="E89" i="4" s="1"/>
  <c r="E90" i="4" s="1"/>
  <c r="E92" i="4" s="1"/>
  <c r="D93" i="4"/>
  <c r="D125" i="4" s="1"/>
  <c r="D127" i="4" s="1"/>
  <c r="G86" i="4"/>
  <c r="G87" i="4"/>
  <c r="G91" i="4" s="1"/>
  <c r="F87" i="4"/>
  <c r="F91" i="4" s="1"/>
  <c r="F86" i="4"/>
  <c r="E93" i="4" l="1"/>
  <c r="E125" i="4" s="1"/>
  <c r="E127" i="4" s="1"/>
  <c r="F88" i="4"/>
  <c r="G88" i="4"/>
  <c r="G89" i="4" s="1"/>
  <c r="G90" i="4" s="1"/>
  <c r="G92" i="4" s="1"/>
  <c r="F89" i="4" l="1"/>
  <c r="F90" i="4" s="1"/>
  <c r="F92" i="4" s="1"/>
  <c r="G93" i="4"/>
  <c r="F93" i="4" l="1"/>
  <c r="F125" i="4" s="1"/>
  <c r="F127" i="4" s="1"/>
  <c r="C117" i="4"/>
  <c r="C120" i="4" s="1"/>
  <c r="H125" i="4" s="1"/>
  <c r="H127" i="4" s="1"/>
  <c r="B139" i="4" s="1"/>
  <c r="G125" i="4"/>
  <c r="G127" i="4" s="1"/>
  <c r="B134" i="4" l="1"/>
  <c r="B144" i="4"/>
  <c r="C146" i="4" s="1"/>
  <c r="C149" i="4" s="1"/>
  <c r="C151" i="4" s="1"/>
  <c r="C153" i="4" l="1"/>
  <c r="B15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<sst xmlns="http://schemas.openxmlformats.org/spreadsheetml/2006/main" count="354" uniqueCount="263">
  <si>
    <t>COMPANY NAME</t>
  </si>
  <si>
    <t>ITC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</si>
  <si>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</si>
  <si>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</si>
  <si>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</si>
  <si>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</si>
  <si>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</si>
  <si>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</si>
  <si>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</si>
  <si>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</si>
  <si>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</si>
  <si>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</si>
  <si>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</si>
  <si>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</si>
  <si>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</si>
  <si>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</si>
  <si>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</si>
  <si>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</si>
  <si>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</si>
  <si>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</si>
  <si>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</si>
  <si>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</si>
  <si>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</si>
  <si>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</si>
  <si>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</si>
  <si>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</si>
  <si>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</si>
  <si>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</si>
  <si>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</si>
  <si>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</si>
  <si>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</si>
  <si>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</si>
  <si>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</si>
  <si>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</si>
  <si>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</si>
  <si>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</si>
  <si>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</si>
  <si>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</si>
  <si>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</si>
  <si>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</si>
  <si>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</si>
  <si>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</si>
  <si>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</si>
  <si>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</si>
  <si>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</si>
  <si>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</si>
  <si>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</si>
  <si>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</si>
  <si>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</si>
  <si>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</si>
  <si>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</si>
  <si>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</si>
  <si>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</si>
  <si>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</si>
  <si>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Company Overview</t>
  </si>
  <si>
    <t>Key Assumptions &amp; Methodology</t>
  </si>
  <si>
    <t>Parameter</t>
  </si>
  <si>
    <t>Value</t>
  </si>
  <si>
    <t>Rationale</t>
  </si>
  <si>
    <t>Valuation Date</t>
  </si>
  <si>
    <t>Projection Period</t>
  </si>
  <si>
    <t>Revenue Growth%</t>
  </si>
  <si>
    <t>Annual Growth Tapering</t>
  </si>
  <si>
    <t>Terminal Growth Rate</t>
  </si>
  <si>
    <t>Risk-Free Rate (Rf)</t>
  </si>
  <si>
    <t>Equity Risk Premium (ERP)</t>
  </si>
  <si>
    <t>Tax Rate</t>
  </si>
  <si>
    <t>Financial Performance (₹ Crores)</t>
  </si>
  <si>
    <t>INCOME STATEMENT</t>
  </si>
  <si>
    <t>Particulars</t>
  </si>
  <si>
    <t>CAGR</t>
  </si>
  <si>
    <t>% growth</t>
  </si>
  <si>
    <t>Cost of Goods Sold</t>
  </si>
  <si>
    <t>% of revenue</t>
  </si>
  <si>
    <t>Gross Profit</t>
  </si>
  <si>
    <t>% margin</t>
  </si>
  <si>
    <t>Operating Expenses</t>
  </si>
  <si>
    <t>EBITDA</t>
  </si>
  <si>
    <t>EBIT</t>
  </si>
  <si>
    <t>% of debt</t>
  </si>
  <si>
    <t>% of PBT</t>
  </si>
  <si>
    <t>Revenue Projections &amp; Growth Assumptions</t>
  </si>
  <si>
    <t>Year</t>
  </si>
  <si>
    <t>FY26E</t>
  </si>
  <si>
    <t>FY27E</t>
  </si>
  <si>
    <t>FY28E</t>
  </si>
  <si>
    <t>FY29E</t>
  </si>
  <si>
    <t>FY30E</t>
  </si>
  <si>
    <t>Revenue Growth %</t>
  </si>
  <si>
    <t>Revenue (in Crs.)</t>
  </si>
  <si>
    <t>Chosen Scenario:</t>
  </si>
  <si>
    <t>Best Case</t>
  </si>
  <si>
    <t>Base Case</t>
  </si>
  <si>
    <t>Worst Case</t>
  </si>
  <si>
    <t>Free Cash Flow Projections (₹ Crores)</t>
  </si>
  <si>
    <t>Revenue</t>
  </si>
  <si>
    <t>EBITDA Margin %</t>
  </si>
  <si>
    <t>Less: Depreciation</t>
  </si>
  <si>
    <t>Less: Tax</t>
  </si>
  <si>
    <t>NOPAT</t>
  </si>
  <si>
    <t>Add: Depreciation</t>
  </si>
  <si>
    <t>Less: Reinvestment</t>
  </si>
  <si>
    <t>Free Cash Flow to Firm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</si>
  <si>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</si>
  <si>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</si>
  <si>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</si>
  <si>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</si>
  <si>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</si>
  <si>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</si>
  <si>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</si>
  <si>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 / Equity</t>
  </si>
  <si>
    <t>Cost of Debt</t>
  </si>
  <si>
    <t>Pre-Tax Cost of Debt</t>
  </si>
  <si>
    <t>After-Tax Cost of Debt</t>
  </si>
  <si>
    <t>Cost of Equity</t>
  </si>
  <si>
    <t>Risk Free Rate</t>
  </si>
  <si>
    <t>Equity Risk Premium</t>
  </si>
  <si>
    <t>Levered Equity Beta</t>
  </si>
  <si>
    <t>WACC</t>
  </si>
  <si>
    <t>Terminal Value Calculation</t>
  </si>
  <si>
    <t>Terminal Year FCF (FY30)</t>
  </si>
  <si>
    <t>Terminal Growth Rate (g)</t>
  </si>
  <si>
    <t>Terminal Value = FCF × (1+g) / (WACC - g)</t>
  </si>
  <si>
    <t>Terminal Value</t>
  </si>
  <si>
    <t>Present Value Calculation</t>
  </si>
  <si>
    <t>FCF (₹ Cr)</t>
  </si>
  <si>
    <t>Discount Factor</t>
  </si>
  <si>
    <t>PV of FCF (₹ Cr)</t>
  </si>
  <si>
    <t>% of margin</t>
  </si>
  <si>
    <t>As per 1Q report of ITC for the FY26</t>
  </si>
  <si>
    <t>change in inventory</t>
  </si>
  <si>
    <t>total</t>
  </si>
  <si>
    <t>nopat</t>
  </si>
  <si>
    <t xml:space="preserve">Reinvestment </t>
  </si>
  <si>
    <t xml:space="preserve">Assumption </t>
  </si>
  <si>
    <t>Name</t>
  </si>
  <si>
    <t>P/E</t>
  </si>
  <si>
    <t>Hind. Unilever</t>
  </si>
  <si>
    <t>ITC</t>
  </si>
  <si>
    <t>Comps Data</t>
  </si>
  <si>
    <t>Company</t>
  </si>
  <si>
    <t>Ticker</t>
  </si>
  <si>
    <t>Price</t>
  </si>
  <si>
    <t>Net Income</t>
  </si>
  <si>
    <t>Beta</t>
  </si>
  <si>
    <t>Cash &amp; Cash Equivalents</t>
  </si>
  <si>
    <t>EV/EBITDA</t>
  </si>
  <si>
    <t>Industry Beta</t>
  </si>
  <si>
    <t>Equity</t>
  </si>
  <si>
    <t xml:space="preserve">Total </t>
  </si>
  <si>
    <t>Debt/</t>
  </si>
  <si>
    <t>Levered</t>
  </si>
  <si>
    <t>Unlevered</t>
  </si>
  <si>
    <t>Company Name</t>
  </si>
  <si>
    <t>Debt</t>
  </si>
  <si>
    <t>Capital</t>
  </si>
  <si>
    <t>Rate %</t>
  </si>
  <si>
    <t>Average</t>
  </si>
  <si>
    <t>Median</t>
  </si>
  <si>
    <t>Comparable Companies Analysis</t>
  </si>
  <si>
    <t>Market Data</t>
  </si>
  <si>
    <t>Financial Data</t>
  </si>
  <si>
    <t>Valuation</t>
  </si>
  <si>
    <t>Shares</t>
  </si>
  <si>
    <t>Cash</t>
  </si>
  <si>
    <t>EV</t>
  </si>
  <si>
    <t>Earnings</t>
  </si>
  <si>
    <t>EV/Sales</t>
  </si>
  <si>
    <r>
      <rPr>
        <b/>
        <sz val="11"/>
        <color rgb="FFFFFFFF"/>
        <rFont val="Arial"/>
        <family val="2"/>
      </rPr>
      <t>(</t>
    </r>
    <r>
      <rPr>
        <sz val="12"/>
        <color theme="0"/>
        <rFont val="Calibri"/>
        <family val="2"/>
      </rPr>
      <t>₹</t>
    </r>
    <r>
      <rPr>
        <i/>
        <sz val="10"/>
        <color theme="0"/>
        <rFont val="Book Antiqua"/>
        <family val="1"/>
      </rPr>
      <t>/share)</t>
    </r>
  </si>
  <si>
    <t>In Cr.</t>
  </si>
  <si>
    <t>&amp; Equivalents</t>
  </si>
  <si>
    <t>x</t>
  </si>
  <si>
    <t>Metric</t>
  </si>
  <si>
    <t>Comps</t>
  </si>
  <si>
    <t>Net Debt</t>
  </si>
  <si>
    <t>Equity Value</t>
  </si>
  <si>
    <t>Share Price</t>
  </si>
  <si>
    <t>EV/Ebitda</t>
  </si>
  <si>
    <t>No.</t>
  </si>
  <si>
    <t>CMP Rs.</t>
  </si>
  <si>
    <t>Sales Rs.Cr.</t>
  </si>
  <si>
    <t>Mar Cap Rs.Cr. </t>
  </si>
  <si>
    <t>EBIDT Ann Rs.Cr.</t>
  </si>
  <si>
    <t>NP Ann Rs.Cr.</t>
  </si>
  <si>
    <t>Debt Rs.Cr.</t>
  </si>
  <si>
    <t>Cash End Rs.Cr.</t>
  </si>
  <si>
    <t>Nestle India</t>
  </si>
  <si>
    <t>Varun Beverages</t>
  </si>
  <si>
    <t>Britannia Inds.</t>
  </si>
  <si>
    <t xml:space="preserve">Average </t>
  </si>
  <si>
    <t xml:space="preserve">As per India 10Y bond rate </t>
  </si>
  <si>
    <t>Expected return over risk free rate for equity investors</t>
  </si>
  <si>
    <t>Conervative loan term groeth considering India's GDP</t>
  </si>
  <si>
    <t>DCF Valuation Summary</t>
  </si>
  <si>
    <t>Sum of PV of FCF (FY26-30)</t>
  </si>
  <si>
    <t>PV of Terminal Value</t>
  </si>
  <si>
    <t>Enterprise Value</t>
  </si>
  <si>
    <t>Less: Net Debt</t>
  </si>
  <si>
    <t>Add: Cash &amp; Investments</t>
  </si>
  <si>
    <t>Shares Outstanding</t>
  </si>
  <si>
    <t>Fair Value per Share</t>
  </si>
  <si>
    <t>Current Market Price</t>
  </si>
  <si>
    <t>Upside/Downside</t>
  </si>
  <si>
    <t>Sensitivity Analysis</t>
  </si>
  <si>
    <t>Terminal Growth / WACC</t>
  </si>
  <si>
    <t>Key Riska &amp; Considerations</t>
  </si>
  <si>
    <t>Upside Risks:</t>
  </si>
  <si>
    <t>Downside Risks:</t>
  </si>
  <si>
    <t>Conclusion &amp; Recommndation</t>
  </si>
  <si>
    <t>Key Findings:</t>
  </si>
  <si>
    <r>
      <t>Based on my DCF Analysis,</t>
    </r>
    <r>
      <rPr>
        <b/>
        <sz val="12"/>
        <color theme="1"/>
        <rFont val="Aptos Narrow"/>
        <family val="2"/>
        <scheme val="minor"/>
      </rPr>
      <t xml:space="preserve"> ITC ltd's</t>
    </r>
    <r>
      <rPr>
        <sz val="12"/>
        <color theme="1"/>
        <rFont val="Aptos Narrow"/>
        <family val="2"/>
        <scheme val="minor"/>
      </rPr>
      <t xml:space="preserve"> intrinsic value is estimated at</t>
    </r>
    <r>
      <rPr>
        <b/>
        <sz val="12"/>
        <color theme="1"/>
        <rFont val="Aptos Narrow"/>
        <family val="2"/>
        <scheme val="minor"/>
      </rPr>
      <t xml:space="preserve"> Rs. 3,954 per share</t>
    </r>
    <r>
      <rPr>
        <sz val="12"/>
        <color theme="1"/>
        <rFont val="Aptos Narrow"/>
        <family val="2"/>
        <scheme val="minor"/>
      </rPr>
      <t xml:space="preserve">, compared to the </t>
    </r>
    <r>
      <rPr>
        <b/>
        <sz val="12"/>
        <color theme="1"/>
        <rFont val="Aptos Narrow"/>
        <family val="2"/>
        <scheme val="minor"/>
      </rPr>
      <t>market price of Rs. 400 per share</t>
    </r>
    <r>
      <rPr>
        <sz val="12"/>
        <color theme="1"/>
        <rFont val="Aptos Narrow"/>
        <family val="2"/>
        <scheme val="minor"/>
      </rPr>
      <t xml:space="preserve">, suggested that the stock is trading at </t>
    </r>
    <r>
      <rPr>
        <b/>
        <sz val="12"/>
        <color theme="1"/>
        <rFont val="Aptos Narrow"/>
        <family val="2"/>
        <scheme val="minor"/>
      </rPr>
      <t>Significant low of 90%</t>
    </r>
    <r>
      <rPr>
        <sz val="12"/>
        <color theme="1"/>
        <rFont val="Aptos Narrow"/>
        <family val="2"/>
        <scheme val="minor"/>
      </rPr>
      <t xml:space="preserve"> to its fair value.</t>
    </r>
  </si>
  <si>
    <r>
      <t xml:space="preserve">FMCG Margin Expansion: </t>
    </r>
    <r>
      <rPr>
        <sz val="12"/>
        <color theme="1"/>
        <rFont val="Aptos Narrow"/>
        <family val="2"/>
        <scheme val="minor"/>
      </rPr>
      <t>Faster improvement in FMCG margins driven by operating leverage, premiumisation, and better input cost management could lead to higher-than-expected EBITDA growth.</t>
    </r>
  </si>
  <si>
    <r>
      <t xml:space="preserve">Strong Cigarette Volume Growth: </t>
    </r>
    <r>
      <rPr>
        <sz val="12"/>
        <color theme="1"/>
        <rFont val="Aptos Narrow"/>
        <family val="2"/>
        <scheme val="minor"/>
      </rPr>
      <t>Lower illicit trade, stable taxation, and price discipline may drive volume recovery beyond projections, supporting cash flows.</t>
    </r>
  </si>
  <si>
    <r>
      <t xml:space="preserve">Hotels Business Upswing: </t>
    </r>
    <r>
      <rPr>
        <sz val="12"/>
        <color theme="1"/>
        <rFont val="Aptos Narrow"/>
        <family val="2"/>
        <scheme val="minor"/>
      </rPr>
      <t>Continued recovery in domestic travel and higher occupancy rates could significantly improve hotel segment profitability.</t>
    </r>
  </si>
  <si>
    <r>
      <t xml:space="preserve">Agri-Business Outperformance: </t>
    </r>
    <r>
      <rPr>
        <sz val="12"/>
        <color theme="1"/>
        <rFont val="Aptos Narrow"/>
        <family val="2"/>
        <scheme val="minor"/>
      </rPr>
      <t>Higher agri exports, value-added agri products, and better realization could boost revenues and margins beyond estimates.</t>
    </r>
  </si>
  <si>
    <r>
      <t xml:space="preserve">Capital Allocation &amp; Shareholder Returns: </t>
    </r>
    <r>
      <rPr>
        <sz val="12"/>
        <color theme="1"/>
        <rFont val="Aptos Narrow"/>
        <family val="2"/>
        <scheme val="minor"/>
      </rPr>
      <t>Higher dividends, buybacks, or successful demerger of hotels business could unlock shareholder value.</t>
    </r>
  </si>
  <si>
    <r>
      <t xml:space="preserve">Regulatory &amp; Taxation Risk (Cigarettes): </t>
    </r>
    <r>
      <rPr>
        <sz val="12"/>
        <color theme="1"/>
        <rFont val="Aptos Narrow"/>
        <family val="2"/>
        <scheme val="minor"/>
      </rPr>
      <t>Any sharp increase in excise duty or adverse regulatory action could negatively impact volumes and margins.</t>
    </r>
  </si>
  <si>
    <r>
      <t xml:space="preserve">Input Cost Inflation: </t>
    </r>
    <r>
      <rPr>
        <sz val="12"/>
        <color theme="1"/>
        <rFont val="Aptos Narrow"/>
        <family val="2"/>
        <scheme val="minor"/>
      </rPr>
      <t>Rising raw material costs (leaf tobacco, paperboards, agri commodities) may pressure margins if price hikes are delayed.</t>
    </r>
  </si>
  <si>
    <r>
      <t xml:space="preserve">FMCG Growth Slowdown: </t>
    </r>
    <r>
      <rPr>
        <sz val="12"/>
        <color theme="1"/>
        <rFont val="Aptos Narrow"/>
        <family val="2"/>
        <scheme val="minor"/>
      </rPr>
      <t>Intense competition from large FMCG players and regional brands could limit market share gains and profitability.</t>
    </r>
  </si>
  <si>
    <r>
      <t xml:space="preserve">Economic Slowdown: </t>
    </r>
    <r>
      <rPr>
        <sz val="12"/>
        <color theme="1"/>
        <rFont val="Aptos Narrow"/>
        <family val="2"/>
        <scheme val="minor"/>
      </rPr>
      <t>Weak rural demand or macroeconomic headwinds could impact discretionary spending and overall revenue growth.</t>
    </r>
  </si>
  <si>
    <r>
      <t xml:space="preserve">Execution Risk in New Categories: </t>
    </r>
    <r>
      <rPr>
        <sz val="12"/>
        <color theme="1"/>
        <rFont val="Aptos Narrow"/>
        <family val="2"/>
        <scheme val="minor"/>
      </rPr>
      <t>Slower-than-expected scale-up of newer FMCG categories may lead to lower ROCE and higher costs.</t>
    </r>
  </si>
  <si>
    <t>The   company has demonstrated growth with revenuem CAGR of~ 11% over FY 21-25.</t>
  </si>
  <si>
    <t>Healthy EBITDA margins of 34.4%.</t>
  </si>
  <si>
    <t>However, current valuation apperrs streched with PE of ~25x of trailing earnings.</t>
  </si>
  <si>
    <r>
      <t>Investment Recommendation:</t>
    </r>
    <r>
      <rPr>
        <b/>
        <sz val="14"/>
        <color theme="1"/>
        <rFont val="Aptos Narrow"/>
        <family val="2"/>
        <scheme val="minor"/>
      </rPr>
      <t xml:space="preserve"> HOLD/ REDUCE</t>
    </r>
  </si>
  <si>
    <t>~ This opportunity is well-suited for new investors aiming to generate substantial returns and long-term value.</t>
  </si>
  <si>
    <t>~ Existing shareholders may continue to hold their positions to realize exceptional returns.</t>
  </si>
  <si>
    <t>While ITC remains a high-quality FMCG company with strong growth prospects, the current valuation offers limited margin of safety and appears to factor in near-perfect execution over the next 5–7 years. Investors may consider:</t>
  </si>
  <si>
    <r>
      <t xml:space="preserve">Findings </t>
    </r>
    <r>
      <rPr>
        <b/>
        <sz val="18"/>
        <color theme="0"/>
        <rFont val="Aptos Narrow"/>
        <family val="2"/>
        <scheme val="minor"/>
      </rPr>
      <t xml:space="preserve"> </t>
    </r>
  </si>
  <si>
    <t>Why Comps data is important?</t>
  </si>
  <si>
    <t>Peers (Median):</t>
  </si>
  <si>
    <t>ITC today:</t>
  </si>
  <si>
    <t>Meaning:</t>
  </si>
  <si>
    <t>*Peer valuation vs ITC (simple comparison)</t>
  </si>
  <si>
    <t>*Implied price section means</t>
  </si>
  <si>
    <t>~Compared to other FMCG companies, ITC looks undervalued despite strong profits and a solid balance sheet.</t>
  </si>
  <si>
    <t>*Final takeaway:</t>
  </si>
  <si>
    <r>
      <t xml:space="preserve">EV/Sales: </t>
    </r>
    <r>
      <rPr>
        <b/>
        <sz val="12"/>
        <color theme="1"/>
        <rFont val="Aptos Narrow"/>
        <family val="2"/>
        <scheme val="minor"/>
      </rPr>
      <t>8.0x</t>
    </r>
  </si>
  <si>
    <r>
      <t xml:space="preserve">EV/EBITDA: </t>
    </r>
    <r>
      <rPr>
        <b/>
        <sz val="12"/>
        <color theme="1"/>
        <rFont val="Aptos Narrow"/>
        <family val="2"/>
        <scheme val="minor"/>
      </rPr>
      <t>37.8x</t>
    </r>
  </si>
  <si>
    <r>
      <t xml:space="preserve">P/E: </t>
    </r>
    <r>
      <rPr>
        <b/>
        <sz val="12"/>
        <color theme="1"/>
        <rFont val="Aptos Narrow"/>
        <family val="2"/>
        <scheme val="minor"/>
      </rPr>
      <t>63.5x</t>
    </r>
  </si>
  <si>
    <r>
      <t xml:space="preserve">EV/Sales: </t>
    </r>
    <r>
      <rPr>
        <b/>
        <sz val="12"/>
        <color theme="1"/>
        <rFont val="Aptos Narrow"/>
        <family val="2"/>
        <scheme val="minor"/>
      </rPr>
      <t>6.3x</t>
    </r>
  </si>
  <si>
    <r>
      <t xml:space="preserve">EV/EBITDA: </t>
    </r>
    <r>
      <rPr>
        <b/>
        <sz val="12"/>
        <color theme="1"/>
        <rFont val="Aptos Narrow"/>
        <family val="2"/>
        <scheme val="minor"/>
      </rPr>
      <t>17.5x</t>
    </r>
  </si>
  <si>
    <r>
      <t xml:space="preserve">P/E: </t>
    </r>
    <r>
      <rPr>
        <b/>
        <sz val="12"/>
        <color theme="1"/>
        <rFont val="Aptos Narrow"/>
        <family val="2"/>
        <scheme val="minor"/>
      </rPr>
      <t>14.3x</t>
    </r>
  </si>
  <si>
    <r>
      <t xml:space="preserve">ITC is trading at a </t>
    </r>
    <r>
      <rPr>
        <b/>
        <sz val="12"/>
        <color theme="1"/>
        <rFont val="Aptos Narrow"/>
        <family val="2"/>
        <scheme val="minor"/>
      </rPr>
      <t>much cheaper valuation</t>
    </r>
    <r>
      <rPr>
        <sz val="12"/>
        <color theme="1"/>
        <rFont val="Aptos Narrow"/>
        <family val="2"/>
        <scheme val="minor"/>
      </rPr>
      <t xml:space="preserve"> than similar FMCG companies.</t>
    </r>
  </si>
  <si>
    <r>
      <t xml:space="preserve">This analysis </t>
    </r>
    <r>
      <rPr>
        <b/>
        <sz val="12"/>
        <color theme="1"/>
        <rFont val="Aptos Narrow"/>
        <family val="2"/>
        <scheme val="minor"/>
      </rPr>
      <t>compares ITC with similar FMCG companies</t>
    </r>
    <r>
      <rPr>
        <sz val="12"/>
        <color theme="1"/>
        <rFont val="Aptos Narrow"/>
        <family val="2"/>
        <scheme val="minor"/>
      </rPr>
      <t xml:space="preserve"> (HUL, Nestle, Varun Beverages, Britannia) to see </t>
    </r>
    <r>
      <rPr>
        <b/>
        <sz val="12"/>
        <color theme="1"/>
        <rFont val="Aptos Narrow"/>
        <family val="2"/>
        <scheme val="minor"/>
      </rPr>
      <t>whether ITC’s stock is cheap or expensive</t>
    </r>
    <r>
      <rPr>
        <sz val="12"/>
        <color theme="1"/>
        <rFont val="Aptos Narrow"/>
        <family val="2"/>
        <scheme val="minor"/>
      </rPr>
      <t xml:space="preserve"> versus peers.</t>
    </r>
  </si>
  <si>
    <r>
      <t xml:space="preserve">If ITC is valued </t>
    </r>
    <r>
      <rPr>
        <b/>
        <sz val="12"/>
        <color theme="1"/>
        <rFont val="Aptos Narrow"/>
        <family val="2"/>
        <scheme val="minor"/>
      </rPr>
      <t>like its peers</t>
    </r>
    <r>
      <rPr>
        <sz val="12"/>
        <color theme="1"/>
        <rFont val="Aptos Narrow"/>
        <family val="2"/>
        <scheme val="minor"/>
      </rPr>
      <t>, the estimated share price comes to:</t>
    </r>
  </si>
  <si>
    <r>
      <t>₹501</t>
    </r>
    <r>
      <rPr>
        <sz val="12"/>
        <color theme="1"/>
        <rFont val="Aptos Narrow"/>
        <family val="2"/>
        <scheme val="minor"/>
      </rPr>
      <t xml:space="preserve"> (based on EV/Sales)</t>
    </r>
  </si>
  <si>
    <r>
      <t>₹858</t>
    </r>
    <r>
      <rPr>
        <sz val="12"/>
        <color theme="1"/>
        <rFont val="Aptos Narrow"/>
        <family val="2"/>
        <scheme val="minor"/>
      </rPr>
      <t xml:space="preserve"> (based on EV/EBITDA)</t>
    </r>
  </si>
  <si>
    <r>
      <t>₹1,777</t>
    </r>
    <r>
      <rPr>
        <sz val="12"/>
        <color theme="1"/>
        <rFont val="Aptos Narrow"/>
        <family val="2"/>
        <scheme val="minor"/>
      </rPr>
      <t xml:space="preserve"> (based on P/E)</t>
    </r>
  </si>
  <si>
    <r>
      <t xml:space="preserve">Current price ≈ </t>
    </r>
    <r>
      <rPr>
        <b/>
        <sz val="12"/>
        <color theme="1"/>
        <rFont val="Aptos Narrow"/>
        <family val="2"/>
        <scheme val="minor"/>
      </rPr>
      <t>₹400</t>
    </r>
  </si>
  <si>
    <t>Financial Modelling</t>
  </si>
  <si>
    <t>14/12/2025</t>
  </si>
  <si>
    <r>
      <t>ITC Limited</t>
    </r>
    <r>
      <rPr>
        <sz val="11"/>
        <color theme="1"/>
        <rFont val="Aptos Narrow"/>
        <family val="2"/>
        <scheme val="minor"/>
      </rPr>
      <t xml:space="preserve"> is one of India’s leading diversified conglomerates with a strong presence across multiple consumer and industrial businesses:</t>
    </r>
  </si>
  <si>
    <r>
      <t>FMCG – Cigarettes</t>
    </r>
    <r>
      <rPr>
        <sz val="11"/>
        <color theme="1"/>
        <rFont val="Aptos Narrow"/>
        <family val="2"/>
        <scheme val="minor"/>
      </rPr>
      <t xml:space="preserve"> – Market leader in the Indian cigarette industry</t>
    </r>
  </si>
  <si>
    <r>
      <t>FMCG – Others</t>
    </r>
    <r>
      <rPr>
        <sz val="11"/>
        <color theme="1"/>
        <rFont val="Aptos Narrow"/>
        <family val="2"/>
        <scheme val="minor"/>
      </rPr>
      <t xml:space="preserve"> – Foods (Aashirvaad, Sunfeast, Bingo), Personal Care (Fiama, Vivel), Agarbatti, Education &amp; Stationery</t>
    </r>
  </si>
  <si>
    <r>
      <t>Hotels</t>
    </r>
    <r>
      <rPr>
        <sz val="11"/>
        <color theme="1"/>
        <rFont val="Aptos Narrow"/>
        <family val="2"/>
        <scheme val="minor"/>
      </rPr>
      <t xml:space="preserve"> – Luxury, premium and mid-scale hospitality chain across India</t>
    </r>
  </si>
  <si>
    <r>
      <t>Paperboards, Paper &amp; Packaging</t>
    </r>
    <r>
      <rPr>
        <sz val="11"/>
        <color theme="1"/>
        <rFont val="Aptos Narrow"/>
        <family val="2"/>
        <scheme val="minor"/>
      </rPr>
      <t xml:space="preserve"> – Sustainable paper and packaging solutions</t>
    </r>
  </si>
  <si>
    <r>
      <t>Agri-Business</t>
    </r>
    <r>
      <rPr>
        <sz val="11"/>
        <color theme="1"/>
        <rFont val="Aptos Narrow"/>
        <family val="2"/>
        <scheme val="minor"/>
      </rPr>
      <t xml:space="preserve"> – Integrated agri-value chain linking farmers to global markets</t>
    </r>
  </si>
  <si>
    <r>
      <t>Pan-India Presence</t>
    </r>
    <r>
      <rPr>
        <sz val="11"/>
        <color theme="1"/>
        <rFont val="Aptos Narrow"/>
        <family val="2"/>
        <scheme val="minor"/>
      </rPr>
      <t xml:space="preserve"> with strong rural and urban reach</t>
    </r>
  </si>
  <si>
    <r>
      <t>Business Model:</t>
    </r>
    <r>
      <rPr>
        <sz val="11"/>
        <color theme="1"/>
        <rFont val="Aptos Narrow"/>
        <family val="2"/>
        <scheme val="minor"/>
      </rPr>
      <t xml:space="preserve"> Strong brands, diversified portfolio, asset-light FMCG growth, focus on sustainability</t>
    </r>
  </si>
  <si>
    <t>ITC LTD Financial Modelling</t>
  </si>
  <si>
    <t>5 Years</t>
  </si>
  <si>
    <t>From FY 26 to FY 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</si>
</sst>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5" formatCode="&quot;$&quot;#,##0_);\(&quot;$&quot;#,##0\)"/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[$-409]mmm\-yy"/>
    <numFmt numFmtId="167" formatCode="0\A"/>
    <numFmt numFmtId="168" formatCode="#,##0.0"/>
    <numFmt numFmtId="169" formatCode="0.0%"/>
    <numFmt numFmtId="170" formatCode="_-* #,##0_-;\(#,##0\)_-;_-* &quot;-&quot;_-;_-@"/>
    <numFmt numFmtId="171" formatCode=";;;"/>
    <numFmt numFmtId="172" formatCode="_-* #,##0_-;\-* #,##0_-;_-* &quot;-&quot;??_-;_-@"/>
    <numFmt numFmtId="173" formatCode="#,##0.0\x"/>
    <numFmt numFmtId="174" formatCode="&quot;₹&quot;#,##0_);[Red]\(&quot;₹&quot;#,##0\)"/>
    <numFmt numFmtId="175" formatCode="&quot;₹&quot;\ #,##0;[Red]&quot;₹&quot;\ \-#,##0"/>
    <numFmt numFmtId="176" formatCode="[Green]0.0%;[Red]\-0.0%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8"/>
      <color theme="1"/>
      <name val="Libre Franklin"/>
    </font>
    <font>
      <sz val="11"/>
      <color theme="1"/>
      <name val="Arial"/>
      <family val="2"/>
    </font>
    <font>
      <b/>
      <sz val="18"/>
      <color theme="0"/>
      <name val="Arial"/>
      <family val="2"/>
    </font>
    <font>
      <sz val="11"/>
      <color theme="0"/>
      <name val="Arial"/>
      <family val="2"/>
    </font>
    <font>
      <sz val="14"/>
      <color rgb="FF000000"/>
      <name val="Arial"/>
      <family val="2"/>
    </font>
    <font>
      <b/>
      <sz val="11"/>
      <color rgb="FFFFFFFF"/>
      <name val="Arial"/>
      <family val="2"/>
    </font>
    <font>
      <sz val="11"/>
      <name val="Calibri"/>
      <family val="2"/>
    </font>
    <font>
      <b/>
      <sz val="11"/>
      <color theme="1"/>
      <name val="Arial"/>
      <family val="2"/>
    </font>
    <font>
      <b/>
      <sz val="20"/>
      <color theme="4"/>
      <name val="Arial"/>
      <family val="2"/>
    </font>
    <font>
      <b/>
      <sz val="12"/>
      <color theme="0"/>
      <name val="Calibri"/>
      <family val="2"/>
    </font>
    <font>
      <sz val="12"/>
      <color theme="1"/>
      <name val="Arial"/>
      <family val="2"/>
    </font>
    <font>
      <i/>
      <sz val="11"/>
      <color theme="1"/>
      <name val="Arial"/>
      <family val="2"/>
    </font>
    <font>
      <b/>
      <sz val="12"/>
      <color theme="0"/>
      <name val="Arial"/>
      <family val="2"/>
    </font>
    <font>
      <b/>
      <sz val="16"/>
      <color theme="0"/>
      <name val="Arial"/>
      <family val="2"/>
    </font>
    <font>
      <b/>
      <u/>
      <sz val="11"/>
      <color theme="1"/>
      <name val="Arial"/>
      <family val="2"/>
    </font>
    <font>
      <sz val="11"/>
      <color rgb="FFFF0000"/>
      <name val="Arial"/>
      <family val="2"/>
    </font>
    <font>
      <b/>
      <sz val="14"/>
      <color rgb="FFFFFFFF"/>
      <name val="Arial"/>
      <family val="2"/>
    </font>
    <font>
      <sz val="11"/>
      <color rgb="FF22222F"/>
      <name val="Arial"/>
      <family val="2"/>
    </font>
    <font>
      <sz val="12"/>
      <color theme="0"/>
      <name val="Calibri"/>
      <family val="2"/>
    </font>
    <font>
      <i/>
      <sz val="10"/>
      <color theme="0"/>
      <name val="Book Antiqua"/>
      <family val="1"/>
    </font>
    <font>
      <sz val="12"/>
      <color theme="1"/>
      <name val="Book Antiqua"/>
      <family val="1"/>
    </font>
    <font>
      <sz val="12"/>
      <color rgb="FF0000FF"/>
      <name val="Book Antiqua"/>
      <family val="1"/>
    </font>
    <font>
      <b/>
      <sz val="13"/>
      <color rgb="FF1A1A1A"/>
      <name val="Arial"/>
      <family val="2"/>
    </font>
    <font>
      <sz val="16"/>
      <color rgb="FF000000"/>
      <name val="Arial"/>
      <family val="2"/>
    </font>
    <font>
      <sz val="19"/>
      <color rgb="FF0066CC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Times New Roman"/>
      <family val="1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8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6"/>
      <color theme="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9F9F9"/>
        <bgColor rgb="FFF9F9F9"/>
      </patternFill>
    </fill>
    <fill>
      <patternFill patternType="solid">
        <fgColor rgb="FF0066CC"/>
        <bgColor rgb="FF0066CC"/>
      </patternFill>
    </fill>
    <fill>
      <patternFill patternType="solid">
        <fgColor rgb="FF0275D8"/>
        <bgColor rgb="FF0275D8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FFACD"/>
        <bgColor rgb="FFFFFACD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E8F4F8"/>
        <bgColor rgb="FFE8F4F8"/>
      </patternFill>
    </fill>
    <fill>
      <patternFill patternType="solid">
        <fgColor rgb="FFD4EDDA"/>
        <bgColor rgb="FFD4EDDA"/>
      </patternFill>
    </fill>
    <fill>
      <patternFill patternType="solid">
        <fgColor theme="0"/>
        <bgColor rgb="FFFFFACD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/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6" fillId="2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</cellStyleXfs>
  <cellXfs count="151">
    <xf numFmtId="0" fontId="0" fillId="0" borderId="0" xfId="0"/>
    <xf numFmtId="164" fontId="5" fillId="0" borderId="0" xfId="1" applyFont="1" applyBorder="1"/>
    <xf numFmtId="164" fontId="0" fillId="0" borderId="0" xfId="1" applyFont="1" applyBorder="1"/>
    <xf numFmtId="165" fontId="7" fillId="3" borderId="0" xfId="1" applyNumberFormat="1" applyFont="1" applyFill="1" applyBorder="1"/>
    <xf numFmtId="165" fontId="7" fillId="3" borderId="0" xfId="0" applyNumberFormat="1" applyFont="1" applyFill="1" applyAlignment="1">
      <alignment horizontal="center"/>
    </xf>
    <xf numFmtId="165" fontId="8" fillId="0" borderId="0" xfId="1" applyNumberFormat="1" applyFont="1" applyFill="1" applyBorder="1"/>
    <xf numFmtId="164" fontId="4" fillId="0" borderId="0" xfId="1" applyFont="1" applyBorder="1"/>
    <xf numFmtId="43" fontId="0" fillId="0" borderId="0" xfId="1" applyNumberFormat="1" applyFont="1" applyBorder="1"/>
    <xf numFmtId="0" fontId="9" fillId="0" borderId="0" xfId="0" applyFont="1" applyAlignment="1">
      <alignment horizontal="left" vertical="top"/>
    </xf>
    <xf numFmtId="0" fontId="10" fillId="0" borderId="0" xfId="0" applyFont="1"/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4" fillId="6" borderId="3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right" vertical="center"/>
    </xf>
    <xf numFmtId="0" fontId="10" fillId="0" borderId="5" xfId="0" applyFont="1" applyBorder="1" applyAlignment="1">
      <alignment horizontal="left" vertical="center"/>
    </xf>
    <xf numFmtId="0" fontId="15" fillId="0" borderId="6" xfId="0" applyFont="1" applyBorder="1"/>
    <xf numFmtId="0" fontId="15" fillId="0" borderId="7" xfId="0" applyFont="1" applyBorder="1"/>
    <xf numFmtId="0" fontId="10" fillId="0" borderId="1" xfId="0" applyFont="1" applyBorder="1" applyAlignment="1">
      <alignment horizontal="right" vertical="center"/>
    </xf>
    <xf numFmtId="9" fontId="10" fillId="0" borderId="1" xfId="0" applyNumberFormat="1" applyFont="1" applyBorder="1" applyAlignment="1">
      <alignment horizontal="right" vertical="center"/>
    </xf>
    <xf numFmtId="10" fontId="10" fillId="0" borderId="1" xfId="0" applyNumberFormat="1" applyFont="1" applyBorder="1" applyAlignment="1">
      <alignment horizontal="right" vertical="center"/>
    </xf>
    <xf numFmtId="0" fontId="17" fillId="5" borderId="0" xfId="0" applyFont="1" applyFill="1" applyAlignment="1">
      <alignment horizontal="left" vertical="center"/>
    </xf>
    <xf numFmtId="166" fontId="18" fillId="7" borderId="0" xfId="0" applyNumberFormat="1" applyFont="1" applyFill="1"/>
    <xf numFmtId="167" fontId="18" fillId="7" borderId="0" xfId="0" applyNumberFormat="1" applyFont="1" applyFill="1" applyAlignment="1">
      <alignment horizontal="right"/>
    </xf>
    <xf numFmtId="0" fontId="19" fillId="0" borderId="0" xfId="0" applyFont="1"/>
    <xf numFmtId="168" fontId="10" fillId="0" borderId="1" xfId="0" applyNumberFormat="1" applyFont="1" applyBorder="1" applyAlignment="1">
      <alignment horizontal="right" vertical="center"/>
    </xf>
    <xf numFmtId="0" fontId="20" fillId="0" borderId="1" xfId="0" applyFont="1" applyBorder="1" applyAlignment="1">
      <alignment horizontal="left" vertical="center"/>
    </xf>
    <xf numFmtId="9" fontId="20" fillId="0" borderId="1" xfId="0" applyNumberFormat="1" applyFont="1" applyBorder="1" applyAlignment="1">
      <alignment horizontal="right" vertical="center"/>
    </xf>
    <xf numFmtId="9" fontId="10" fillId="0" borderId="0" xfId="0" applyNumberFormat="1" applyFont="1"/>
    <xf numFmtId="0" fontId="16" fillId="8" borderId="1" xfId="0" applyFont="1" applyFill="1" applyBorder="1" applyAlignment="1">
      <alignment horizontal="left" vertical="center"/>
    </xf>
    <xf numFmtId="168" fontId="16" fillId="8" borderId="1" xfId="0" applyNumberFormat="1" applyFont="1" applyFill="1" applyBorder="1" applyAlignment="1">
      <alignment horizontal="right" vertical="center"/>
    </xf>
    <xf numFmtId="0" fontId="20" fillId="8" borderId="1" xfId="0" applyFont="1" applyFill="1" applyBorder="1" applyAlignment="1">
      <alignment horizontal="left" vertical="center"/>
    </xf>
    <xf numFmtId="169" fontId="20" fillId="8" borderId="1" xfId="0" applyNumberFormat="1" applyFont="1" applyFill="1" applyBorder="1" applyAlignment="1">
      <alignment horizontal="right" vertical="center"/>
    </xf>
    <xf numFmtId="0" fontId="12" fillId="5" borderId="0" xfId="0" applyFont="1" applyFill="1" applyAlignment="1">
      <alignment horizontal="left" vertical="center"/>
    </xf>
    <xf numFmtId="167" fontId="21" fillId="7" borderId="0" xfId="0" applyNumberFormat="1" applyFont="1" applyFill="1" applyAlignment="1">
      <alignment horizontal="right"/>
    </xf>
    <xf numFmtId="164" fontId="10" fillId="0" borderId="0" xfId="0" applyNumberFormat="1" applyFont="1"/>
    <xf numFmtId="0" fontId="14" fillId="6" borderId="1" xfId="0" applyFont="1" applyFill="1" applyBorder="1" applyAlignment="1">
      <alignment horizontal="right" vertical="center"/>
    </xf>
    <xf numFmtId="3" fontId="10" fillId="0" borderId="1" xfId="0" applyNumberFormat="1" applyFont="1" applyBorder="1" applyAlignment="1">
      <alignment horizontal="right" vertical="center"/>
    </xf>
    <xf numFmtId="0" fontId="23" fillId="0" borderId="5" xfId="0" applyFont="1" applyBorder="1" applyAlignment="1">
      <alignment horizontal="left" vertical="center"/>
    </xf>
    <xf numFmtId="3" fontId="10" fillId="9" borderId="6" xfId="0" applyNumberFormat="1" applyFont="1" applyFill="1" applyBorder="1" applyAlignment="1">
      <alignment horizontal="right" vertical="center"/>
    </xf>
    <xf numFmtId="3" fontId="10" fillId="0" borderId="6" xfId="0" applyNumberFormat="1" applyFont="1" applyBorder="1" applyAlignment="1">
      <alignment horizontal="right" vertical="center"/>
    </xf>
    <xf numFmtId="3" fontId="10" fillId="0" borderId="7" xfId="0" applyNumberFormat="1" applyFont="1" applyBorder="1" applyAlignment="1">
      <alignment horizontal="right" vertical="center"/>
    </xf>
    <xf numFmtId="0" fontId="20" fillId="0" borderId="5" xfId="0" applyFont="1" applyBorder="1" applyAlignment="1">
      <alignment horizontal="left" vertical="center"/>
    </xf>
    <xf numFmtId="9" fontId="20" fillId="0" borderId="6" xfId="0" applyNumberFormat="1" applyFont="1" applyBorder="1" applyAlignment="1">
      <alignment vertical="center"/>
    </xf>
    <xf numFmtId="9" fontId="20" fillId="0" borderId="7" xfId="0" applyNumberFormat="1" applyFont="1" applyBorder="1" applyAlignment="1">
      <alignment vertical="center"/>
    </xf>
    <xf numFmtId="0" fontId="20" fillId="0" borderId="5" xfId="0" quotePrefix="1" applyFont="1" applyBorder="1" applyAlignment="1">
      <alignment horizontal="left" vertical="center"/>
    </xf>
    <xf numFmtId="170" fontId="10" fillId="0" borderId="1" xfId="0" applyNumberFormat="1" applyFont="1" applyBorder="1" applyAlignment="1">
      <alignment horizontal="right" vertical="center"/>
    </xf>
    <xf numFmtId="170" fontId="24" fillId="0" borderId="1" xfId="0" applyNumberFormat="1" applyFont="1" applyBorder="1" applyAlignment="1">
      <alignment horizontal="right" vertical="center"/>
    </xf>
    <xf numFmtId="0" fontId="16" fillId="10" borderId="1" xfId="0" applyFont="1" applyFill="1" applyBorder="1" applyAlignment="1">
      <alignment horizontal="left" vertical="center"/>
    </xf>
    <xf numFmtId="170" fontId="16" fillId="10" borderId="1" xfId="0" applyNumberFormat="1" applyFont="1" applyFill="1" applyBorder="1" applyAlignment="1">
      <alignment horizontal="right" vertical="center"/>
    </xf>
    <xf numFmtId="0" fontId="14" fillId="6" borderId="5" xfId="0" applyFont="1" applyFill="1" applyBorder="1" applyAlignment="1">
      <alignment horizontal="left" vertical="center"/>
    </xf>
    <xf numFmtId="3" fontId="10" fillId="0" borderId="5" xfId="0" applyNumberFormat="1" applyFont="1" applyBorder="1" applyAlignment="1">
      <alignment horizontal="left" vertical="center"/>
    </xf>
    <xf numFmtId="169" fontId="10" fillId="0" borderId="1" xfId="0" applyNumberFormat="1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left" vertical="center"/>
    </xf>
    <xf numFmtId="4" fontId="10" fillId="0" borderId="1" xfId="0" applyNumberFormat="1" applyFont="1" applyBorder="1" applyAlignment="1">
      <alignment horizontal="left" vertical="center"/>
    </xf>
    <xf numFmtId="0" fontId="25" fillId="6" borderId="5" xfId="0" applyFont="1" applyFill="1" applyBorder="1" applyAlignment="1">
      <alignment horizontal="left" vertical="center"/>
    </xf>
    <xf numFmtId="169" fontId="25" fillId="6" borderId="1" xfId="0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" fontId="16" fillId="10" borderId="1" xfId="0" applyNumberFormat="1" applyFont="1" applyFill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171" fontId="10" fillId="0" borderId="6" xfId="0" applyNumberFormat="1" applyFont="1" applyBorder="1" applyAlignment="1">
      <alignment horizontal="right" vertical="center"/>
    </xf>
    <xf numFmtId="9" fontId="0" fillId="0" borderId="0" xfId="4" applyFont="1" applyBorder="1"/>
    <xf numFmtId="0" fontId="26" fillId="12" borderId="0" xfId="0" applyFont="1" applyFill="1" applyAlignment="1">
      <alignment horizontal="left" vertical="center" indent="2"/>
    </xf>
    <xf numFmtId="0" fontId="3" fillId="12" borderId="0" xfId="3" applyFill="1" applyAlignment="1" applyProtection="1">
      <alignment horizontal="left" vertical="center"/>
    </xf>
    <xf numFmtId="0" fontId="26" fillId="12" borderId="0" xfId="0" applyFont="1" applyFill="1" applyAlignment="1">
      <alignment horizontal="right" vertical="center" wrapText="1"/>
    </xf>
    <xf numFmtId="0" fontId="3" fillId="11" borderId="0" xfId="3" applyFill="1" applyAlignment="1" applyProtection="1">
      <alignment horizontal="left" vertical="center"/>
    </xf>
    <xf numFmtId="0" fontId="26" fillId="11" borderId="0" xfId="0" applyFont="1" applyFill="1" applyAlignment="1">
      <alignment horizontal="left" vertical="center" indent="2"/>
    </xf>
    <xf numFmtId="0" fontId="26" fillId="11" borderId="0" xfId="0" applyFont="1" applyFill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4" fillId="6" borderId="6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0" fontId="14" fillId="6" borderId="8" xfId="0" applyFont="1" applyFill="1" applyBorder="1" applyAlignment="1">
      <alignment horizontal="left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3" fontId="14" fillId="6" borderId="4" xfId="0" applyNumberFormat="1" applyFont="1" applyFill="1" applyBorder="1" applyAlignment="1">
      <alignment horizontal="center" vertical="center"/>
    </xf>
    <xf numFmtId="169" fontId="14" fillId="6" borderId="4" xfId="0" applyNumberFormat="1" applyFont="1" applyFill="1" applyBorder="1" applyAlignment="1">
      <alignment horizontal="center" vertical="center"/>
    </xf>
    <xf numFmtId="2" fontId="14" fillId="6" borderId="4" xfId="0" applyNumberFormat="1" applyFont="1" applyFill="1" applyBorder="1" applyAlignment="1">
      <alignment horizontal="center" vertical="center"/>
    </xf>
    <xf numFmtId="172" fontId="19" fillId="0" borderId="0" xfId="0" applyNumberFormat="1" applyFont="1"/>
    <xf numFmtId="0" fontId="14" fillId="6" borderId="12" xfId="0" applyFont="1" applyFill="1" applyBorder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173" fontId="10" fillId="0" borderId="1" xfId="0" applyNumberFormat="1" applyFont="1" applyBorder="1" applyAlignment="1">
      <alignment horizontal="center" vertical="center"/>
    </xf>
    <xf numFmtId="37" fontId="29" fillId="0" borderId="0" xfId="0" applyNumberFormat="1" applyFont="1" applyAlignment="1">
      <alignment horizontal="left"/>
    </xf>
    <xf numFmtId="0" fontId="29" fillId="0" borderId="0" xfId="0" applyFont="1"/>
    <xf numFmtId="174" fontId="30" fillId="0" borderId="0" xfId="0" applyNumberFormat="1" applyFont="1" applyAlignment="1">
      <alignment vertical="center"/>
    </xf>
    <xf numFmtId="37" fontId="30" fillId="0" borderId="0" xfId="0" applyNumberFormat="1" applyFont="1" applyAlignment="1">
      <alignment vertical="center"/>
    </xf>
    <xf numFmtId="174" fontId="29" fillId="0" borderId="0" xfId="0" applyNumberFormat="1" applyFont="1" applyAlignment="1">
      <alignment vertical="center"/>
    </xf>
    <xf numFmtId="5" fontId="29" fillId="0" borderId="0" xfId="0" applyNumberFormat="1" applyFont="1" applyAlignment="1">
      <alignment vertical="center"/>
    </xf>
    <xf numFmtId="173" fontId="14" fillId="6" borderId="0" xfId="0" applyNumberFormat="1" applyFont="1" applyFill="1" applyAlignment="1">
      <alignment horizontal="center" vertical="center"/>
    </xf>
    <xf numFmtId="0" fontId="3" fillId="11" borderId="0" xfId="3" applyFill="1" applyAlignment="1" applyProtection="1">
      <alignment horizontal="left" vertical="center" indent="2"/>
    </xf>
    <xf numFmtId="0" fontId="3" fillId="11" borderId="0" xfId="3" applyFill="1" applyAlignment="1" applyProtection="1">
      <alignment horizontal="right" vertical="center" wrapText="1"/>
    </xf>
    <xf numFmtId="169" fontId="0" fillId="0" borderId="0" xfId="0" applyNumberFormat="1" applyAlignment="1">
      <alignment horizontal="left"/>
    </xf>
    <xf numFmtId="0" fontId="1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3" fontId="33" fillId="0" borderId="0" xfId="0" applyNumberFormat="1" applyFont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3" fontId="16" fillId="10" borderId="1" xfId="0" applyNumberFormat="1" applyFont="1" applyFill="1" applyBorder="1" applyAlignment="1">
      <alignment horizontal="right" vertical="center"/>
    </xf>
    <xf numFmtId="43" fontId="10" fillId="0" borderId="1" xfId="0" applyNumberFormat="1" applyFont="1" applyBorder="1" applyAlignment="1">
      <alignment horizontal="right" vertical="center"/>
    </xf>
    <xf numFmtId="0" fontId="34" fillId="10" borderId="1" xfId="0" applyFont="1" applyFill="1" applyBorder="1" applyAlignment="1">
      <alignment horizontal="left" vertical="center"/>
    </xf>
    <xf numFmtId="175" fontId="34" fillId="10" borderId="1" xfId="0" applyNumberFormat="1" applyFont="1" applyFill="1" applyBorder="1" applyAlignment="1">
      <alignment horizontal="right" vertical="center"/>
    </xf>
    <xf numFmtId="175" fontId="10" fillId="0" borderId="1" xfId="0" applyNumberFormat="1" applyFont="1" applyBorder="1" applyAlignment="1">
      <alignment horizontal="right" vertical="center"/>
    </xf>
    <xf numFmtId="176" fontId="10" fillId="0" borderId="1" xfId="0" applyNumberFormat="1" applyFont="1" applyBorder="1" applyAlignment="1">
      <alignment horizontal="right" vertical="center"/>
    </xf>
    <xf numFmtId="171" fontId="10" fillId="0" borderId="0" xfId="0" applyNumberFormat="1" applyFont="1"/>
    <xf numFmtId="10" fontId="14" fillId="6" borderId="1" xfId="0" applyNumberFormat="1" applyFont="1" applyFill="1" applyBorder="1" applyAlignment="1">
      <alignment horizontal="right" vertical="center"/>
    </xf>
    <xf numFmtId="10" fontId="16" fillId="0" borderId="1" xfId="0" applyNumberFormat="1" applyFont="1" applyBorder="1" applyAlignment="1">
      <alignment horizontal="left" vertical="center"/>
    </xf>
    <xf numFmtId="10" fontId="16" fillId="15" borderId="1" xfId="0" applyNumberFormat="1" applyFont="1" applyFill="1" applyBorder="1" applyAlignment="1">
      <alignment horizontal="left" vertical="center"/>
    </xf>
    <xf numFmtId="175" fontId="10" fillId="15" borderId="1" xfId="0" applyNumberFormat="1" applyFont="1" applyFill="1" applyBorder="1" applyAlignment="1">
      <alignment horizontal="right" vertical="center"/>
    </xf>
    <xf numFmtId="0" fontId="5" fillId="0" borderId="0" xfId="0" applyFont="1"/>
    <xf numFmtId="9" fontId="10" fillId="0" borderId="0" xfId="4" applyFont="1"/>
    <xf numFmtId="0" fontId="37" fillId="0" borderId="0" xfId="0" applyFont="1"/>
    <xf numFmtId="0" fontId="36" fillId="0" borderId="0" xfId="0" applyFont="1"/>
    <xf numFmtId="0" fontId="38" fillId="0" borderId="0" xfId="0" applyFont="1"/>
    <xf numFmtId="0" fontId="42" fillId="0" borderId="0" xfId="0" applyFont="1" applyAlignment="1">
      <alignment vertical="center"/>
    </xf>
    <xf numFmtId="0" fontId="11" fillId="4" borderId="0" xfId="0" applyFont="1" applyFill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171" fontId="19" fillId="0" borderId="0" xfId="0" applyNumberFormat="1" applyFont="1"/>
    <xf numFmtId="0" fontId="10" fillId="0" borderId="5" xfId="0" applyFont="1" applyBorder="1" applyAlignment="1">
      <alignment horizontal="left" vertical="center"/>
    </xf>
    <xf numFmtId="0" fontId="15" fillId="0" borderId="6" xfId="0" applyFont="1" applyBorder="1"/>
    <xf numFmtId="0" fontId="15" fillId="0" borderId="7" xfId="0" applyFont="1" applyBorder="1"/>
    <xf numFmtId="0" fontId="14" fillId="6" borderId="3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0" fontId="43" fillId="4" borderId="0" xfId="0" applyFont="1" applyFill="1" applyAlignment="1">
      <alignment horizontal="left" vertical="center"/>
    </xf>
    <xf numFmtId="0" fontId="36" fillId="0" borderId="0" xfId="0" applyFont="1" applyAlignment="1">
      <alignment wrapText="1"/>
    </xf>
    <xf numFmtId="0" fontId="11" fillId="4" borderId="0" xfId="0" applyFont="1" applyFill="1" applyAlignment="1">
      <alignment horizontal="left" vertical="center"/>
    </xf>
    <xf numFmtId="0" fontId="35" fillId="16" borderId="0" xfId="0" applyFont="1" applyFill="1" applyAlignment="1">
      <alignment horizontal="left" vertical="center"/>
    </xf>
    <xf numFmtId="0" fontId="37" fillId="0" borderId="0" xfId="0" applyFont="1" applyAlignment="1">
      <alignment wrapText="1"/>
    </xf>
    <xf numFmtId="0" fontId="37" fillId="0" borderId="0" xfId="0" applyFont="1"/>
    <xf numFmtId="0" fontId="36" fillId="0" borderId="0" xfId="0" applyFont="1"/>
    <xf numFmtId="0" fontId="22" fillId="4" borderId="0" xfId="0" applyFont="1" applyFill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164" fontId="3" fillId="0" borderId="0" xfId="3" applyNumberFormat="1" applyBorder="1" applyAlignment="1" applyProtection="1">
      <alignment horizontal="center"/>
    </xf>
    <xf numFmtId="164" fontId="7" fillId="2" borderId="0" xfId="2" applyNumberFormat="1" applyFont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5" fillId="0" borderId="0" xfId="0" applyFont="1"/>
    <xf numFmtId="0" fontId="36" fillId="0" borderId="0" xfId="0" applyFont="1" applyAlignment="1">
      <alignment horizontal="left" vertical="center" indent="1"/>
    </xf>
    <xf numFmtId="0" fontId="37" fillId="0" borderId="0" xfId="0" applyFont="1" applyAlignment="1">
      <alignment horizontal="left" vertical="center" indent="1"/>
    </xf>
    <xf numFmtId="0" fontId="37" fillId="0" borderId="0" xfId="0" applyFont="1" applyAlignment="1">
      <alignment vertical="top" wrapText="1"/>
    </xf>
    <xf numFmtId="0" fontId="2" fillId="4" borderId="0" xfId="0" applyFont="1" applyFill="1" applyAlignment="1">
      <alignment horizontal="left" vertical="center"/>
    </xf>
    <xf numFmtId="0" fontId="40" fillId="17" borderId="0" xfId="0" applyFont="1" applyFill="1" applyAlignment="1">
      <alignment horizontal="left" vertical="center"/>
    </xf>
    <xf numFmtId="0" fontId="42" fillId="0" borderId="0" xfId="0" applyFont="1" applyAlignment="1">
      <alignment vertical="center"/>
    </xf>
  </cellXfs>
  <cellStyles count="5">
    <cellStyle name="Accent6" xfId="2" builtinId="49"/>
    <cellStyle name="Comma" xfId="1" builtinId="3"/>
    <cellStyle name="Hyperlink" xfId="3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OneDrive\Desktop\MY%20DCF%20analysis.xlsx" TargetMode="External"/><Relationship Id="rId1" Type="http://schemas.openxmlformats.org/officeDocument/2006/relationships/externalLinkPath" Target="MY%20DCF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F Modelling"/>
      <sheetName val="Comps"/>
      <sheetName val="Data Sheet"/>
      <sheetName val="Sheet4"/>
    </sheetNames>
    <sheetDataSet>
      <sheetData sheetId="0">
        <row r="26">
          <cell r="C26">
            <v>0.25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market/IN04/IN0401/?sort=net+profit+last+year&amp;order=desc" TargetMode="External"/><Relationship Id="rId13" Type="http://schemas.openxmlformats.org/officeDocument/2006/relationships/hyperlink" Target="https://www.screener.in/company/NESTLEIND/" TargetMode="External"/><Relationship Id="rId3" Type="http://schemas.openxmlformats.org/officeDocument/2006/relationships/hyperlink" Target="https://www.screener.in/market/IN04/IN0401/?sort=current+price&amp;order=desc" TargetMode="External"/><Relationship Id="rId7" Type="http://schemas.openxmlformats.org/officeDocument/2006/relationships/hyperlink" Target="https://www.screener.in/market/IN04/IN0401/?sort=ebidt+last+year&amp;order=desc" TargetMode="External"/><Relationship Id="rId12" Type="http://schemas.openxmlformats.org/officeDocument/2006/relationships/hyperlink" Target="https://www.screener.in/company/ITC/consolidated/" TargetMode="External"/><Relationship Id="rId2" Type="http://schemas.openxmlformats.org/officeDocument/2006/relationships/hyperlink" Target="https://www.screener.in/market/IN04/IN0401/?sort=name&amp;order=desc" TargetMode="External"/><Relationship Id="rId1" Type="http://schemas.openxmlformats.org/officeDocument/2006/relationships/hyperlink" Target="https://www.screener.in/market/IN04/IN0401/?order=asc" TargetMode="External"/><Relationship Id="rId6" Type="http://schemas.openxmlformats.org/officeDocument/2006/relationships/hyperlink" Target="https://www.screener.in/market/IN04/IN0401/?sort=price+to+earning&amp;order=desc" TargetMode="External"/><Relationship Id="rId11" Type="http://schemas.openxmlformats.org/officeDocument/2006/relationships/hyperlink" Target="https://www.screener.in/company/HINDUNILVR/consolidated/" TargetMode="External"/><Relationship Id="rId5" Type="http://schemas.openxmlformats.org/officeDocument/2006/relationships/hyperlink" Target="https://www.screener.in/market/IN04/IN0401/?sort=market+capitalization&amp;order=desc" TargetMode="External"/><Relationship Id="rId15" Type="http://schemas.openxmlformats.org/officeDocument/2006/relationships/hyperlink" Target="https://www.screener.in/company/BRITANNIA/consolidated/" TargetMode="External"/><Relationship Id="rId10" Type="http://schemas.openxmlformats.org/officeDocument/2006/relationships/hyperlink" Target="https://www.screener.in/market/IN04/IN0401/?sort=cash+end+of+last+year&amp;order=desc" TargetMode="External"/><Relationship Id="rId4" Type="http://schemas.openxmlformats.org/officeDocument/2006/relationships/hyperlink" Target="https://www.screener.in/market/IN04/IN0401/?sort=sales&amp;order=desc" TargetMode="External"/><Relationship Id="rId9" Type="http://schemas.openxmlformats.org/officeDocument/2006/relationships/hyperlink" Target="https://www.screener.in/market/IN04/IN0401/?sort=debt&amp;order=desc" TargetMode="External"/><Relationship Id="rId14" Type="http://schemas.openxmlformats.org/officeDocument/2006/relationships/hyperlink" Target="https://www.screener.in/company/VBL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25F5-390E-4E1B-BB05-97E8B0B82E41}">
  <sheetPr>
    <tabColor rgb="FFFFFF00"/>
  </sheetPr>
  <dimension ref="B2:K196"/>
  <sheetViews>
    <sheetView showGridLines="0" tabSelected="1" topLeftCell="B68" zoomScale="72" workbookViewId="0">
      <selection activeCell="D52" sqref="D52"/>
    </sheetView>
  </sheetViews>
  <sheetFormatPr defaultRowHeight="14.5" x14ac:dyDescent="0.35"/>
  <cols>
    <col min="1" max="1" width="2.453125" customWidth="1"/>
    <col min="2" max="2" width="29.81640625" customWidth="1"/>
    <col min="3" max="3" width="14.453125" bestFit="1" customWidth="1"/>
    <col min="4" max="4" width="11.54296875" customWidth="1"/>
    <col min="5" max="5" width="20.08984375" customWidth="1"/>
    <col min="6" max="7" width="12.6328125" customWidth="1"/>
    <col min="8" max="8" width="15.1796875" customWidth="1"/>
  </cols>
  <sheetData>
    <row r="2" spans="2:11" ht="33.5" x14ac:dyDescent="0.35">
      <c r="B2" s="131" t="s">
        <v>260</v>
      </c>
      <c r="C2" s="131"/>
      <c r="D2" s="131"/>
      <c r="E2" s="131"/>
      <c r="F2" s="131"/>
      <c r="G2" s="131"/>
      <c r="H2" s="131"/>
      <c r="I2" s="131"/>
      <c r="J2" s="131"/>
      <c r="K2" s="131"/>
    </row>
    <row r="3" spans="2:11" ht="14.5" customHeight="1" x14ac:dyDescent="0.35"/>
    <row r="4" spans="2:11" ht="14.5" customHeight="1" x14ac:dyDescent="0.35">
      <c r="B4" s="123" t="s">
        <v>54</v>
      </c>
      <c r="C4" s="123"/>
      <c r="D4" s="123"/>
      <c r="E4" s="123"/>
      <c r="F4" s="123"/>
      <c r="G4" s="123"/>
      <c r="H4" s="123"/>
      <c r="I4" s="123"/>
      <c r="J4" s="123"/>
      <c r="K4" s="123"/>
    </row>
    <row r="5" spans="2:11" x14ac:dyDescent="0.35">
      <c r="B5" s="117" t="s">
        <v>252</v>
      </c>
      <c r="C5" s="9"/>
      <c r="D5" s="9"/>
      <c r="E5" s="9"/>
      <c r="F5" s="9"/>
      <c r="G5" s="9"/>
      <c r="H5" s="9"/>
    </row>
    <row r="6" spans="2:11" x14ac:dyDescent="0.35">
      <c r="C6" s="9"/>
      <c r="D6" s="9"/>
      <c r="E6" s="9"/>
      <c r="F6" s="9"/>
      <c r="G6" s="9"/>
      <c r="H6" s="9"/>
    </row>
    <row r="7" spans="2:11" x14ac:dyDescent="0.35">
      <c r="B7" s="117" t="s">
        <v>253</v>
      </c>
      <c r="C7" s="9"/>
      <c r="D7" s="9"/>
      <c r="E7" s="9"/>
      <c r="F7" s="9"/>
      <c r="G7" s="9"/>
      <c r="H7" s="9"/>
    </row>
    <row r="8" spans="2:11" x14ac:dyDescent="0.35">
      <c r="B8" s="117" t="s">
        <v>254</v>
      </c>
      <c r="C8" s="9"/>
      <c r="D8" s="9"/>
      <c r="E8" s="9"/>
      <c r="F8" s="9"/>
      <c r="G8" s="9"/>
      <c r="H8" s="9"/>
    </row>
    <row r="9" spans="2:11" x14ac:dyDescent="0.35">
      <c r="B9" s="117" t="s">
        <v>255</v>
      </c>
      <c r="C9" s="9"/>
      <c r="D9" s="9"/>
      <c r="E9" s="9"/>
      <c r="F9" s="9"/>
      <c r="G9" s="9"/>
      <c r="H9" s="9"/>
    </row>
    <row r="10" spans="2:11" x14ac:dyDescent="0.35">
      <c r="B10" s="117" t="s">
        <v>256</v>
      </c>
      <c r="C10" s="9"/>
      <c r="D10" s="9"/>
      <c r="E10" s="9"/>
      <c r="F10" s="9"/>
      <c r="G10" s="9"/>
      <c r="H10" s="9"/>
    </row>
    <row r="11" spans="2:11" x14ac:dyDescent="0.35">
      <c r="B11" s="117" t="s">
        <v>257</v>
      </c>
      <c r="C11" s="9"/>
      <c r="D11" s="9"/>
      <c r="E11" s="9"/>
      <c r="F11" s="9"/>
      <c r="G11" s="9"/>
      <c r="H11" s="9"/>
    </row>
    <row r="12" spans="2:11" x14ac:dyDescent="0.35">
      <c r="B12" s="117" t="s">
        <v>258</v>
      </c>
    </row>
    <row r="13" spans="2:11" x14ac:dyDescent="0.35">
      <c r="B13" s="117" t="s">
        <v>259</v>
      </c>
    </row>
    <row r="14" spans="2:11" ht="17.5" x14ac:dyDescent="0.35">
      <c r="B14" s="11"/>
      <c r="C14" s="9"/>
      <c r="D14" s="9"/>
      <c r="E14" s="9"/>
      <c r="F14" s="9"/>
      <c r="G14" s="9"/>
      <c r="H14" s="9"/>
    </row>
    <row r="15" spans="2:11" x14ac:dyDescent="0.35">
      <c r="B15" s="10"/>
      <c r="C15" s="9"/>
      <c r="D15" s="9"/>
      <c r="E15" s="9"/>
      <c r="F15" s="9"/>
      <c r="G15" s="9"/>
      <c r="H15" s="9"/>
    </row>
    <row r="16" spans="2:11" ht="23.5" thickBot="1" x14ac:dyDescent="0.4">
      <c r="B16" s="133" t="s">
        <v>55</v>
      </c>
      <c r="C16" s="133"/>
      <c r="D16" s="133"/>
      <c r="E16" s="133"/>
      <c r="F16" s="133"/>
      <c r="G16" s="133"/>
      <c r="H16" s="133"/>
      <c r="I16" s="133"/>
      <c r="J16" s="133"/>
      <c r="K16" s="133"/>
    </row>
    <row r="17" spans="2:11" ht="15" thickBot="1" x14ac:dyDescent="0.4">
      <c r="B17" s="12" t="s">
        <v>56</v>
      </c>
      <c r="C17" s="124" t="s">
        <v>57</v>
      </c>
      <c r="D17" s="129" t="s">
        <v>58</v>
      </c>
      <c r="E17" s="130"/>
      <c r="F17" s="130"/>
      <c r="G17" s="9"/>
      <c r="H17" s="9"/>
    </row>
    <row r="18" spans="2:11" ht="15" thickBot="1" x14ac:dyDescent="0.4">
      <c r="B18" s="14" t="s">
        <v>59</v>
      </c>
      <c r="C18" s="15" t="s">
        <v>251</v>
      </c>
      <c r="D18" s="16"/>
      <c r="E18" s="17"/>
      <c r="F18" s="18"/>
      <c r="G18" s="9"/>
      <c r="H18" s="9"/>
    </row>
    <row r="19" spans="2:11" ht="15" thickBot="1" x14ac:dyDescent="0.4">
      <c r="B19" s="14" t="s">
        <v>60</v>
      </c>
      <c r="C19" s="19" t="s">
        <v>261</v>
      </c>
      <c r="D19" s="16" t="s">
        <v>262</v>
      </c>
      <c r="E19" s="17"/>
      <c r="F19" s="18"/>
      <c r="G19" s="9"/>
      <c r="H19" s="9"/>
    </row>
    <row r="20" spans="2:11" ht="15" thickBot="1" x14ac:dyDescent="0.4">
      <c r="B20" s="14" t="s">
        <v>61</v>
      </c>
      <c r="C20" s="20">
        <v>0.2</v>
      </c>
      <c r="D20" s="16" t="s">
        <v>129</v>
      </c>
      <c r="E20" s="17"/>
      <c r="F20" s="18"/>
      <c r="G20" s="9"/>
      <c r="H20" s="9"/>
    </row>
    <row r="21" spans="2:11" ht="15" thickBot="1" x14ac:dyDescent="0.4">
      <c r="B21" s="14" t="s">
        <v>62</v>
      </c>
      <c r="C21" s="20">
        <v>0.02</v>
      </c>
      <c r="D21" s="16"/>
      <c r="E21" s="17"/>
      <c r="F21" s="18"/>
      <c r="G21" s="9"/>
      <c r="H21" s="9"/>
    </row>
    <row r="22" spans="2:11" ht="15" thickBot="1" x14ac:dyDescent="0.4">
      <c r="B22" s="14" t="s">
        <v>63</v>
      </c>
      <c r="C22" s="21">
        <v>0.06</v>
      </c>
      <c r="D22" s="16" t="s">
        <v>192</v>
      </c>
      <c r="E22" s="17"/>
      <c r="F22" s="18"/>
      <c r="G22" s="9"/>
      <c r="H22" s="9"/>
    </row>
    <row r="23" spans="2:11" ht="15" thickBot="1" x14ac:dyDescent="0.4">
      <c r="B23" s="14" t="s">
        <v>64</v>
      </c>
      <c r="C23" s="21">
        <v>6.5000000000000002E-2</v>
      </c>
      <c r="D23" s="126" t="s">
        <v>190</v>
      </c>
      <c r="E23" s="127"/>
      <c r="F23" s="128"/>
      <c r="G23" s="9"/>
      <c r="H23" s="9"/>
    </row>
    <row r="24" spans="2:11" ht="15" thickBot="1" x14ac:dyDescent="0.4">
      <c r="B24" s="14" t="s">
        <v>65</v>
      </c>
      <c r="C24" s="21">
        <f>12%-C23</f>
        <v>5.4999999999999993E-2</v>
      </c>
      <c r="D24" s="126" t="s">
        <v>191</v>
      </c>
      <c r="E24" s="127"/>
      <c r="F24" s="128"/>
      <c r="G24" s="9"/>
      <c r="H24" s="9"/>
    </row>
    <row r="25" spans="2:11" ht="15" thickBot="1" x14ac:dyDescent="0.4">
      <c r="B25" s="14" t="s">
        <v>66</v>
      </c>
      <c r="C25" s="21">
        <v>0.25</v>
      </c>
      <c r="D25" s="126"/>
      <c r="E25" s="127"/>
      <c r="F25" s="128"/>
      <c r="G25" s="9"/>
      <c r="H25" s="9"/>
    </row>
    <row r="26" spans="2:11" ht="15" thickBot="1" x14ac:dyDescent="0.4">
      <c r="B26" s="14" t="s">
        <v>133</v>
      </c>
      <c r="C26" s="21">
        <v>0.3</v>
      </c>
      <c r="D26" s="139" t="s">
        <v>134</v>
      </c>
      <c r="E26" s="140"/>
      <c r="F26" s="140"/>
      <c r="G26" s="9"/>
      <c r="H26" s="9"/>
    </row>
    <row r="27" spans="2:11" ht="15" thickBot="1" x14ac:dyDescent="0.4">
      <c r="B27" s="14" t="s">
        <v>112</v>
      </c>
      <c r="C27" s="21">
        <v>0.08</v>
      </c>
      <c r="D27" s="139" t="s">
        <v>134</v>
      </c>
      <c r="E27" s="140"/>
      <c r="F27" s="140"/>
      <c r="G27" s="9"/>
      <c r="H27" s="9"/>
    </row>
    <row r="28" spans="2:11" x14ac:dyDescent="0.35">
      <c r="G28" s="9"/>
      <c r="H28" s="9"/>
    </row>
    <row r="29" spans="2:11" x14ac:dyDescent="0.35">
      <c r="B29" s="10"/>
      <c r="C29" s="9"/>
      <c r="D29" s="9"/>
      <c r="E29" s="9"/>
      <c r="F29" s="9"/>
      <c r="G29" s="9"/>
      <c r="H29" s="9"/>
    </row>
    <row r="30" spans="2:11" ht="23" x14ac:dyDescent="0.35">
      <c r="B30" s="133" t="s">
        <v>67</v>
      </c>
      <c r="C30" s="133"/>
      <c r="D30" s="133"/>
      <c r="E30" s="133"/>
      <c r="F30" s="133"/>
      <c r="G30" s="133"/>
      <c r="H30" s="133"/>
      <c r="I30" s="133"/>
      <c r="J30" s="133"/>
      <c r="K30" s="133"/>
    </row>
    <row r="31" spans="2:11" ht="25" x14ac:dyDescent="0.35">
      <c r="B31" s="22" t="s">
        <v>68</v>
      </c>
      <c r="C31" s="9"/>
      <c r="D31" s="9"/>
      <c r="E31" s="9"/>
      <c r="F31" s="9"/>
      <c r="G31" s="9"/>
      <c r="H31" s="9"/>
    </row>
    <row r="32" spans="2:11" ht="16" thickBot="1" x14ac:dyDescent="0.4">
      <c r="B32" s="23" t="s">
        <v>69</v>
      </c>
      <c r="C32" s="24">
        <v>2021</v>
      </c>
      <c r="D32" s="24">
        <f t="shared" ref="D32:G32" si="0">C32+1</f>
        <v>2022</v>
      </c>
      <c r="E32" s="24">
        <f t="shared" si="0"/>
        <v>2023</v>
      </c>
      <c r="F32" s="24">
        <f t="shared" si="0"/>
        <v>2024</v>
      </c>
      <c r="G32" s="24">
        <f t="shared" si="0"/>
        <v>2025</v>
      </c>
      <c r="H32" s="125" t="s">
        <v>70</v>
      </c>
    </row>
    <row r="33" spans="2:8" ht="15" thickBot="1" x14ac:dyDescent="0.4">
      <c r="B33" s="14" t="s">
        <v>12</v>
      </c>
      <c r="C33" s="26">
        <f>'Data Sheet'!G17</f>
        <v>49257.45</v>
      </c>
      <c r="D33" s="26">
        <f>'Data Sheet'!H17</f>
        <v>60644.54</v>
      </c>
      <c r="E33" s="26">
        <f>'Data Sheet'!I17</f>
        <v>70919.03</v>
      </c>
      <c r="F33" s="26">
        <f>'Data Sheet'!J17</f>
        <v>67931.94</v>
      </c>
      <c r="G33" s="26">
        <f>'Data Sheet'!K17</f>
        <v>75323.34</v>
      </c>
      <c r="H33" s="112"/>
    </row>
    <row r="34" spans="2:8" ht="15" thickBot="1" x14ac:dyDescent="0.4">
      <c r="B34" s="27" t="s">
        <v>71</v>
      </c>
      <c r="C34" s="26"/>
      <c r="D34" s="28">
        <f t="shared" ref="D34:G34" si="1">D33/C33</f>
        <v>1.2311749796223719</v>
      </c>
      <c r="E34" s="28">
        <f t="shared" si="1"/>
        <v>1.1694215175842706</v>
      </c>
      <c r="F34" s="28">
        <f t="shared" si="1"/>
        <v>0.95788027557624522</v>
      </c>
      <c r="G34" s="28">
        <f t="shared" si="1"/>
        <v>1.1088059607895784</v>
      </c>
      <c r="H34" s="112">
        <f>_xlfn.RRI(4,C33,G33)</f>
        <v>0.11202464175108751</v>
      </c>
    </row>
    <row r="35" spans="2:8" ht="15" thickBot="1" x14ac:dyDescent="0.4">
      <c r="B35" s="14" t="s">
        <v>72</v>
      </c>
      <c r="C35" s="26">
        <f>SUM('Data Sheet'!G18,-'Data Sheet'!G19,'Data Sheet'!G20:G21)</f>
        <v>22418.18</v>
      </c>
      <c r="D35" s="26">
        <f>SUM('Data Sheet'!H18,-'Data Sheet'!H19,'Data Sheet'!H20:H21)</f>
        <v>29162.510000000002</v>
      </c>
      <c r="E35" s="26">
        <f>SUM('Data Sheet'!I18,-'Data Sheet'!I19,'Data Sheet'!I20:I21)</f>
        <v>32565.91</v>
      </c>
      <c r="F35" s="26">
        <f>SUM('Data Sheet'!J18,-'Data Sheet'!J19,'Data Sheet'!J20:J21)</f>
        <v>30117.46</v>
      </c>
      <c r="G35" s="26">
        <f>SUM('Data Sheet'!K18,-'Data Sheet'!K19,'Data Sheet'!K20:K21)</f>
        <v>35299.43</v>
      </c>
      <c r="H35" s="9"/>
    </row>
    <row r="36" spans="2:8" ht="15" thickBot="1" x14ac:dyDescent="0.4">
      <c r="B36" s="27" t="s">
        <v>73</v>
      </c>
      <c r="C36" s="28">
        <f t="shared" ref="C36:G36" si="2">C35/C33</f>
        <v>0.45512262612051579</v>
      </c>
      <c r="D36" s="28">
        <f t="shared" si="2"/>
        <v>0.48087610195410835</v>
      </c>
      <c r="E36" s="28">
        <f t="shared" si="2"/>
        <v>0.4591984690145931</v>
      </c>
      <c r="F36" s="28">
        <f t="shared" si="2"/>
        <v>0.44334756228071798</v>
      </c>
      <c r="G36" s="28">
        <f t="shared" si="2"/>
        <v>0.46863867162555461</v>
      </c>
      <c r="H36" s="9"/>
    </row>
    <row r="37" spans="2:8" ht="15" thickBot="1" x14ac:dyDescent="0.4">
      <c r="B37" s="30" t="s">
        <v>74</v>
      </c>
      <c r="C37" s="31">
        <f t="shared" ref="C37:G37" si="3">C33-C35</f>
        <v>26839.269999999997</v>
      </c>
      <c r="D37" s="31">
        <f t="shared" si="3"/>
        <v>31482.03</v>
      </c>
      <c r="E37" s="31">
        <f t="shared" si="3"/>
        <v>38353.119999999995</v>
      </c>
      <c r="F37" s="31">
        <f t="shared" si="3"/>
        <v>37814.480000000003</v>
      </c>
      <c r="G37" s="31">
        <f t="shared" si="3"/>
        <v>40023.909999999996</v>
      </c>
      <c r="H37" s="9"/>
    </row>
    <row r="38" spans="2:8" ht="15" thickBot="1" x14ac:dyDescent="0.4">
      <c r="B38" s="32" t="s">
        <v>75</v>
      </c>
      <c r="C38" s="33">
        <f t="shared" ref="C38:G38" si="4">C37/C33</f>
        <v>0.54487737387948421</v>
      </c>
      <c r="D38" s="33">
        <f t="shared" si="4"/>
        <v>0.51912389804589165</v>
      </c>
      <c r="E38" s="33">
        <f t="shared" si="4"/>
        <v>0.54080153098540684</v>
      </c>
      <c r="F38" s="33">
        <f t="shared" si="4"/>
        <v>0.55665243771928197</v>
      </c>
      <c r="G38" s="33">
        <f t="shared" si="4"/>
        <v>0.53136132837444539</v>
      </c>
      <c r="H38" s="9"/>
    </row>
    <row r="39" spans="2:8" ht="15" thickBot="1" x14ac:dyDescent="0.4">
      <c r="B39" s="14" t="s">
        <v>76</v>
      </c>
      <c r="C39" s="26">
        <f>SUM('Data Sheet'!G22:G24)</f>
        <v>9774.49</v>
      </c>
      <c r="D39" s="26">
        <f>SUM('Data Sheet'!H22:H24)</f>
        <v>10858.880000000001</v>
      </c>
      <c r="E39" s="26">
        <f>SUM('Data Sheet'!I22:I24)</f>
        <v>12648.859999999999</v>
      </c>
      <c r="F39" s="26">
        <f>SUM('Data Sheet'!J22:J24)</f>
        <v>12626.949999999999</v>
      </c>
      <c r="G39" s="26">
        <f>SUM('Data Sheet'!K22:K24)</f>
        <v>14184.46</v>
      </c>
      <c r="H39" s="9"/>
    </row>
    <row r="40" spans="2:8" ht="15" thickBot="1" x14ac:dyDescent="0.4">
      <c r="B40" s="27" t="s">
        <v>73</v>
      </c>
      <c r="C40" s="28">
        <f t="shared" ref="C40:G40" si="5">C39/C33</f>
        <v>0.19843678468942264</v>
      </c>
      <c r="D40" s="28">
        <f t="shared" si="5"/>
        <v>0.17905783439036724</v>
      </c>
      <c r="E40" s="28">
        <f t="shared" si="5"/>
        <v>0.17835635935798894</v>
      </c>
      <c r="F40" s="28">
        <f t="shared" si="5"/>
        <v>0.18587648166679765</v>
      </c>
      <c r="G40" s="28">
        <f t="shared" si="5"/>
        <v>0.18831427284026439</v>
      </c>
      <c r="H40" s="9"/>
    </row>
    <row r="41" spans="2:8" ht="15" thickBot="1" x14ac:dyDescent="0.4">
      <c r="B41" s="30" t="s">
        <v>77</v>
      </c>
      <c r="C41" s="31">
        <f t="shared" ref="C41:G41" si="6">C37-C39</f>
        <v>17064.78</v>
      </c>
      <c r="D41" s="31">
        <f t="shared" si="6"/>
        <v>20623.149999999998</v>
      </c>
      <c r="E41" s="31">
        <f t="shared" si="6"/>
        <v>25704.259999999995</v>
      </c>
      <c r="F41" s="31">
        <f t="shared" si="6"/>
        <v>25187.530000000006</v>
      </c>
      <c r="G41" s="31">
        <f t="shared" si="6"/>
        <v>25839.449999999997</v>
      </c>
      <c r="H41" s="9"/>
    </row>
    <row r="42" spans="2:8" ht="15" thickBot="1" x14ac:dyDescent="0.4">
      <c r="B42" s="32" t="s">
        <v>75</v>
      </c>
      <c r="C42" s="33">
        <f>C41/C33</f>
        <v>0.3464405891900616</v>
      </c>
      <c r="D42" s="33">
        <f t="shared" ref="D42:G42" si="7">D41/D33</f>
        <v>0.34006606365552444</v>
      </c>
      <c r="E42" s="33">
        <f t="shared" si="7"/>
        <v>0.36244517162741785</v>
      </c>
      <c r="F42" s="33">
        <f t="shared" si="7"/>
        <v>0.37077595605248437</v>
      </c>
      <c r="G42" s="33">
        <f t="shared" si="7"/>
        <v>0.34304705553418102</v>
      </c>
      <c r="H42" s="9"/>
    </row>
    <row r="43" spans="2:8" ht="15" thickBot="1" x14ac:dyDescent="0.4">
      <c r="B43" s="14" t="s">
        <v>21</v>
      </c>
      <c r="C43" s="26">
        <f>'Data Sheet'!G26</f>
        <v>1645.59</v>
      </c>
      <c r="D43" s="26">
        <f>'Data Sheet'!H26</f>
        <v>1732.41</v>
      </c>
      <c r="E43" s="26">
        <f>'Data Sheet'!I26</f>
        <v>1809.01</v>
      </c>
      <c r="F43" s="26">
        <f>'Data Sheet'!J26</f>
        <v>1518.05</v>
      </c>
      <c r="G43" s="26">
        <f>'Data Sheet'!K26</f>
        <v>1646.32</v>
      </c>
      <c r="H43" s="9"/>
    </row>
    <row r="44" spans="2:8" ht="15" thickBot="1" x14ac:dyDescent="0.4">
      <c r="B44" s="27" t="s">
        <v>128</v>
      </c>
      <c r="C44" s="28">
        <f t="shared" ref="C44:G44" si="8">C43/C33</f>
        <v>3.3407941336792708E-2</v>
      </c>
      <c r="D44" s="28">
        <f t="shared" si="8"/>
        <v>2.8566627762367396E-2</v>
      </c>
      <c r="E44" s="28">
        <f t="shared" si="8"/>
        <v>2.550810410125463E-2</v>
      </c>
      <c r="F44" s="28">
        <f t="shared" si="8"/>
        <v>2.2346631054552542E-2</v>
      </c>
      <c r="G44" s="28">
        <f t="shared" si="8"/>
        <v>2.1856704707996222E-2</v>
      </c>
      <c r="H44" s="9"/>
    </row>
    <row r="45" spans="2:8" ht="15" thickBot="1" x14ac:dyDescent="0.4">
      <c r="B45" s="30" t="s">
        <v>78</v>
      </c>
      <c r="C45" s="31">
        <f t="shared" ref="C45:G45" si="9">C41-C43</f>
        <v>15419.189999999999</v>
      </c>
      <c r="D45" s="31">
        <f t="shared" si="9"/>
        <v>18890.739999999998</v>
      </c>
      <c r="E45" s="31">
        <f t="shared" si="9"/>
        <v>23895.249999999996</v>
      </c>
      <c r="F45" s="31">
        <f t="shared" si="9"/>
        <v>23669.480000000007</v>
      </c>
      <c r="G45" s="31">
        <f t="shared" si="9"/>
        <v>24193.129999999997</v>
      </c>
      <c r="H45" s="9"/>
    </row>
    <row r="46" spans="2:8" ht="15" thickBot="1" x14ac:dyDescent="0.4">
      <c r="B46" s="32" t="s">
        <v>75</v>
      </c>
      <c r="C46" s="33">
        <f t="shared" ref="C46:G46" si="10">C45/C33</f>
        <v>0.3130326478532689</v>
      </c>
      <c r="D46" s="33">
        <f t="shared" si="10"/>
        <v>0.31149943589315704</v>
      </c>
      <c r="E46" s="33">
        <f t="shared" si="10"/>
        <v>0.33693706752616326</v>
      </c>
      <c r="F46" s="33">
        <f t="shared" si="10"/>
        <v>0.34842932499793183</v>
      </c>
      <c r="G46" s="33">
        <f t="shared" si="10"/>
        <v>0.3211903508261848</v>
      </c>
      <c r="H46" s="9"/>
    </row>
    <row r="47" spans="2:8" ht="15" thickBot="1" x14ac:dyDescent="0.4">
      <c r="B47" s="14" t="s">
        <v>20</v>
      </c>
      <c r="C47" s="26">
        <f>'Data Sheet'!G25</f>
        <v>2576.9499999999998</v>
      </c>
      <c r="D47" s="26">
        <f>'Data Sheet'!H25</f>
        <v>1909.72</v>
      </c>
      <c r="E47" s="26">
        <f>'Data Sheet'!I25</f>
        <v>2097.64</v>
      </c>
      <c r="F47" s="26">
        <f>'Data Sheet'!J25</f>
        <v>3330.45</v>
      </c>
      <c r="G47" s="26">
        <f>'Data Sheet'!K25</f>
        <v>17794.88</v>
      </c>
      <c r="H47" s="9"/>
    </row>
    <row r="48" spans="2:8" ht="15" thickBot="1" x14ac:dyDescent="0.4">
      <c r="B48" s="14" t="s">
        <v>22</v>
      </c>
      <c r="C48" s="26">
        <f>'Data Sheet'!G27</f>
        <v>57.97</v>
      </c>
      <c r="D48" s="26">
        <f>'Data Sheet'!H27</f>
        <v>59.99</v>
      </c>
      <c r="E48" s="26">
        <f>'Data Sheet'!I27</f>
        <v>77.77</v>
      </c>
      <c r="F48" s="26">
        <f>'Data Sheet'!J27</f>
        <v>39.11</v>
      </c>
      <c r="G48" s="26">
        <f>'Data Sheet'!K27</f>
        <v>45.06</v>
      </c>
      <c r="H48" s="9"/>
    </row>
    <row r="49" spans="2:8" ht="15" thickBot="1" x14ac:dyDescent="0.4">
      <c r="B49" s="27" t="s">
        <v>79</v>
      </c>
      <c r="C49" s="28">
        <f>C48/'Data Sheet'!G59</f>
        <v>0.21404571133183178</v>
      </c>
      <c r="D49" s="28">
        <f>D48/'Data Sheet'!H59</f>
        <v>0.24049871712636306</v>
      </c>
      <c r="E49" s="28">
        <f>E48/'Data Sheet'!I59</f>
        <v>0.25411710887465688</v>
      </c>
      <c r="F49" s="28">
        <f>F48/'Data Sheet'!J59</f>
        <v>0.12889299014599742</v>
      </c>
      <c r="G49" s="28">
        <f>G48/'Data Sheet'!K59</f>
        <v>0.15836086314753636</v>
      </c>
      <c r="H49" s="9"/>
    </row>
    <row r="50" spans="2:8" ht="15" thickBot="1" x14ac:dyDescent="0.4">
      <c r="B50" s="30" t="s">
        <v>23</v>
      </c>
      <c r="C50" s="31">
        <f t="shared" ref="C50:G50" si="11">C45+C47-C48</f>
        <v>17938.169999999998</v>
      </c>
      <c r="D50" s="31">
        <f t="shared" si="11"/>
        <v>20740.469999999998</v>
      </c>
      <c r="E50" s="31">
        <f t="shared" si="11"/>
        <v>25915.119999999995</v>
      </c>
      <c r="F50" s="31">
        <f t="shared" si="11"/>
        <v>26960.820000000007</v>
      </c>
      <c r="G50" s="31">
        <f t="shared" si="11"/>
        <v>41942.949999999997</v>
      </c>
      <c r="H50" s="9"/>
    </row>
    <row r="51" spans="2:8" ht="15" thickBot="1" x14ac:dyDescent="0.4">
      <c r="B51" s="32" t="s">
        <v>73</v>
      </c>
      <c r="C51" s="33">
        <f t="shared" ref="C51:G51" si="12">C50/C33</f>
        <v>0.36417171412649252</v>
      </c>
      <c r="D51" s="33">
        <f t="shared" si="12"/>
        <v>0.34200061538928317</v>
      </c>
      <c r="E51" s="33">
        <f t="shared" si="12"/>
        <v>0.36541842154355458</v>
      </c>
      <c r="F51" s="33">
        <f t="shared" si="12"/>
        <v>0.39687987712407458</v>
      </c>
      <c r="G51" s="33">
        <f t="shared" si="12"/>
        <v>0.5568386903714041</v>
      </c>
      <c r="H51" s="9"/>
    </row>
    <row r="52" spans="2:8" ht="15" thickBot="1" x14ac:dyDescent="0.4">
      <c r="B52" s="14" t="s">
        <v>24</v>
      </c>
      <c r="C52" s="26">
        <f>'Data Sheet'!G29</f>
        <v>4555.29</v>
      </c>
      <c r="D52" s="26">
        <f>'Data Sheet'!H29</f>
        <v>5237.34</v>
      </c>
      <c r="E52" s="26">
        <f>'Data Sheet'!I29</f>
        <v>6438.4</v>
      </c>
      <c r="F52" s="26">
        <f>'Data Sheet'!J29</f>
        <v>6209.46</v>
      </c>
      <c r="G52" s="26">
        <f>'Data Sheet'!K29</f>
        <v>6890.47</v>
      </c>
      <c r="H52" s="9"/>
    </row>
    <row r="53" spans="2:8" ht="15" thickBot="1" x14ac:dyDescent="0.4">
      <c r="B53" s="27" t="s">
        <v>80</v>
      </c>
      <c r="C53" s="28">
        <f t="shared" ref="C53:G53" si="13">C52/C50</f>
        <v>0.25394396418363746</v>
      </c>
      <c r="D53" s="28">
        <f t="shared" si="13"/>
        <v>0.25251790340334623</v>
      </c>
      <c r="E53" s="28">
        <f t="shared" si="13"/>
        <v>0.24844183627164376</v>
      </c>
      <c r="F53" s="28">
        <f t="shared" si="13"/>
        <v>0.23031421151137088</v>
      </c>
      <c r="G53" s="28">
        <f t="shared" si="13"/>
        <v>0.16428195918503588</v>
      </c>
      <c r="H53" s="29"/>
    </row>
    <row r="54" spans="2:8" ht="15" thickBot="1" x14ac:dyDescent="0.4">
      <c r="B54" s="30" t="s">
        <v>25</v>
      </c>
      <c r="C54" s="31">
        <f t="shared" ref="C54:G54" si="14">C50-C52</f>
        <v>13382.879999999997</v>
      </c>
      <c r="D54" s="31">
        <f t="shared" si="14"/>
        <v>15503.129999999997</v>
      </c>
      <c r="E54" s="31">
        <f t="shared" si="14"/>
        <v>19476.719999999994</v>
      </c>
      <c r="F54" s="31">
        <f t="shared" si="14"/>
        <v>20751.360000000008</v>
      </c>
      <c r="G54" s="31">
        <f t="shared" si="14"/>
        <v>35052.479999999996</v>
      </c>
      <c r="H54" s="9"/>
    </row>
    <row r="55" spans="2:8" ht="15" thickBot="1" x14ac:dyDescent="0.4">
      <c r="B55" s="32" t="s">
        <v>73</v>
      </c>
      <c r="C55" s="33">
        <f t="shared" ref="C55:G55" si="15">C54/C33</f>
        <v>0.2716925053976606</v>
      </c>
      <c r="D55" s="33">
        <f t="shared" si="15"/>
        <v>0.25563933702852715</v>
      </c>
      <c r="E55" s="33">
        <f t="shared" si="15"/>
        <v>0.27463319788778828</v>
      </c>
      <c r="F55" s="33">
        <f t="shared" si="15"/>
        <v>0.30547280115951359</v>
      </c>
      <c r="G55" s="33">
        <f t="shared" si="15"/>
        <v>0.46536013936716025</v>
      </c>
      <c r="H55" s="9"/>
    </row>
    <row r="56" spans="2:8" x14ac:dyDescent="0.35">
      <c r="B56" s="34"/>
      <c r="C56" s="9"/>
      <c r="D56" s="9"/>
      <c r="E56" s="9"/>
      <c r="F56" s="9"/>
      <c r="G56" s="9"/>
      <c r="H56" s="9"/>
    </row>
    <row r="57" spans="2:8" ht="25" x14ac:dyDescent="0.35">
      <c r="B57" s="22" t="s">
        <v>30</v>
      </c>
      <c r="C57" s="9"/>
      <c r="D57" s="9"/>
      <c r="E57" s="9"/>
      <c r="F57" s="9"/>
      <c r="G57" s="9"/>
      <c r="H57" s="9"/>
    </row>
    <row r="58" spans="2:8" ht="15.5" x14ac:dyDescent="0.35">
      <c r="B58" s="23" t="s">
        <v>69</v>
      </c>
      <c r="C58" s="35">
        <f t="shared" ref="C58:G58" si="16">C32</f>
        <v>2021</v>
      </c>
      <c r="D58" s="35">
        <f t="shared" si="16"/>
        <v>2022</v>
      </c>
      <c r="E58" s="35">
        <f t="shared" si="16"/>
        <v>2023</v>
      </c>
      <c r="F58" s="35">
        <f t="shared" si="16"/>
        <v>2024</v>
      </c>
      <c r="G58" s="35">
        <f t="shared" si="16"/>
        <v>2025</v>
      </c>
      <c r="H58" s="25"/>
    </row>
    <row r="59" spans="2:8" x14ac:dyDescent="0.35">
      <c r="B59" s="36" t="s">
        <v>31</v>
      </c>
      <c r="C59" s="9">
        <f>'Data Sheet'!G57</f>
        <v>1230.8800000000001</v>
      </c>
      <c r="D59" s="9">
        <f>'Data Sheet'!H57</f>
        <v>1232.33</v>
      </c>
      <c r="E59" s="9">
        <f>'Data Sheet'!I57</f>
        <v>1242.8</v>
      </c>
      <c r="F59" s="9">
        <f>'Data Sheet'!J57</f>
        <v>1248.47</v>
      </c>
      <c r="G59" s="9">
        <f>'Data Sheet'!K57</f>
        <v>1251.4100000000001</v>
      </c>
      <c r="H59" s="9"/>
    </row>
    <row r="60" spans="2:8" x14ac:dyDescent="0.35">
      <c r="B60" s="36" t="s">
        <v>32</v>
      </c>
      <c r="C60" s="9">
        <f>'Data Sheet'!G58</f>
        <v>59116.46</v>
      </c>
      <c r="D60" s="9">
        <f>'Data Sheet'!H58</f>
        <v>61223.24</v>
      </c>
      <c r="E60" s="9">
        <f>'Data Sheet'!I58</f>
        <v>67912.460000000006</v>
      </c>
      <c r="F60" s="9">
        <f>'Data Sheet'!J58</f>
        <v>73258.53</v>
      </c>
      <c r="G60" s="9">
        <f>'Data Sheet'!K58</f>
        <v>68778.64</v>
      </c>
      <c r="H60" s="9"/>
    </row>
    <row r="61" spans="2:8" x14ac:dyDescent="0.35">
      <c r="B61" s="36" t="s">
        <v>33</v>
      </c>
      <c r="C61" s="9">
        <f>'Data Sheet'!G59</f>
        <v>270.83</v>
      </c>
      <c r="D61" s="9">
        <f>'Data Sheet'!H59</f>
        <v>249.44</v>
      </c>
      <c r="E61" s="9">
        <f>'Data Sheet'!I59</f>
        <v>306.04000000000002</v>
      </c>
      <c r="F61" s="9">
        <f>'Data Sheet'!J59</f>
        <v>303.43</v>
      </c>
      <c r="G61" s="9">
        <f>'Data Sheet'!K59</f>
        <v>284.54000000000002</v>
      </c>
      <c r="H61" s="9"/>
    </row>
    <row r="62" spans="2:8" ht="15" thickBot="1" x14ac:dyDescent="0.4">
      <c r="B62" s="36" t="s">
        <v>34</v>
      </c>
      <c r="C62" s="9">
        <f>'Data Sheet'!G60</f>
        <v>13142.59</v>
      </c>
      <c r="D62" s="9">
        <f>'Data Sheet'!H60</f>
        <v>14491.01</v>
      </c>
      <c r="E62" s="9">
        <f>'Data Sheet'!I60</f>
        <v>16369.66</v>
      </c>
      <c r="F62" s="9">
        <f>'Data Sheet'!J60</f>
        <v>16943.54</v>
      </c>
      <c r="G62" s="9">
        <f>'Data Sheet'!K60</f>
        <v>17688.11</v>
      </c>
      <c r="H62" s="9"/>
    </row>
    <row r="63" spans="2:8" ht="15" thickBot="1" x14ac:dyDescent="0.4">
      <c r="B63" s="30" t="s">
        <v>35</v>
      </c>
      <c r="C63" s="31">
        <f t="shared" ref="C63:G63" si="17">SUM(C59:C62)</f>
        <v>73760.759999999995</v>
      </c>
      <c r="D63" s="31">
        <f t="shared" si="17"/>
        <v>77196.02</v>
      </c>
      <c r="E63" s="31">
        <f t="shared" si="17"/>
        <v>85830.96</v>
      </c>
      <c r="F63" s="31">
        <f t="shared" si="17"/>
        <v>91753.97</v>
      </c>
      <c r="G63" s="31">
        <f t="shared" si="17"/>
        <v>88002.7</v>
      </c>
      <c r="H63" s="9"/>
    </row>
    <row r="64" spans="2:8" x14ac:dyDescent="0.35">
      <c r="B64" s="36" t="s">
        <v>36</v>
      </c>
      <c r="C64" s="9">
        <f>'Data Sheet'!G62</f>
        <v>23298.48</v>
      </c>
      <c r="D64" s="9">
        <f>'Data Sheet'!H62</f>
        <v>24231.59</v>
      </c>
      <c r="E64" s="9">
        <f>'Data Sheet'!I62</f>
        <v>25851.27</v>
      </c>
      <c r="F64" s="9">
        <f>'Data Sheet'!J62</f>
        <v>27820.22</v>
      </c>
      <c r="G64" s="9">
        <f>'Data Sheet'!K62</f>
        <v>21954.85</v>
      </c>
      <c r="H64" s="9"/>
    </row>
    <row r="65" spans="2:11" x14ac:dyDescent="0.35">
      <c r="B65" s="36" t="s">
        <v>37</v>
      </c>
      <c r="C65" s="9">
        <f>'Data Sheet'!G63</f>
        <v>4011.29</v>
      </c>
      <c r="D65" s="9">
        <f>'Data Sheet'!H63</f>
        <v>3225.54</v>
      </c>
      <c r="E65" s="9">
        <f>'Data Sheet'!I63</f>
        <v>3003.3</v>
      </c>
      <c r="F65" s="9">
        <f>'Data Sheet'!J63</f>
        <v>2860.78</v>
      </c>
      <c r="G65" s="9">
        <f>'Data Sheet'!K63</f>
        <v>1090.9100000000001</v>
      </c>
      <c r="H65" s="9"/>
    </row>
    <row r="66" spans="2:11" x14ac:dyDescent="0.35">
      <c r="B66" s="36" t="s">
        <v>38</v>
      </c>
      <c r="C66" s="9">
        <f>'Data Sheet'!G64</f>
        <v>24870.87</v>
      </c>
      <c r="D66" s="9">
        <f>'Data Sheet'!H64</f>
        <v>24841.01</v>
      </c>
      <c r="E66" s="9">
        <f>'Data Sheet'!I64</f>
        <v>29415.02</v>
      </c>
      <c r="F66" s="9">
        <f>'Data Sheet'!J64</f>
        <v>31114.02</v>
      </c>
      <c r="G66" s="9">
        <f>'Data Sheet'!K64</f>
        <v>34719.82</v>
      </c>
      <c r="H66" s="9"/>
    </row>
    <row r="67" spans="2:11" x14ac:dyDescent="0.35">
      <c r="B67" s="36" t="s">
        <v>40</v>
      </c>
      <c r="C67" s="9">
        <f>'Data Sheet'!G67</f>
        <v>2501.6999999999998</v>
      </c>
      <c r="D67" s="9">
        <f>'Data Sheet'!H67</f>
        <v>2461.9</v>
      </c>
      <c r="E67" s="9">
        <f>'Data Sheet'!I67</f>
        <v>2956.17</v>
      </c>
      <c r="F67" s="9">
        <f>'Data Sheet'!J67</f>
        <v>4025.82</v>
      </c>
      <c r="G67" s="9">
        <f>'Data Sheet'!K67</f>
        <v>4719.67</v>
      </c>
      <c r="H67" s="9"/>
    </row>
    <row r="68" spans="2:11" x14ac:dyDescent="0.35">
      <c r="B68" s="36" t="s">
        <v>41</v>
      </c>
      <c r="C68" s="9">
        <f>'Data Sheet'!G68</f>
        <v>10397.16</v>
      </c>
      <c r="D68" s="9">
        <f>'Data Sheet'!H68</f>
        <v>10864.15</v>
      </c>
      <c r="E68" s="9">
        <f>'Data Sheet'!I68</f>
        <v>11771.16</v>
      </c>
      <c r="F68" s="9">
        <f>'Data Sheet'!J68</f>
        <v>14152.88</v>
      </c>
      <c r="G68" s="9">
        <f>'Data Sheet'!K68</f>
        <v>15637.56</v>
      </c>
      <c r="H68" s="9"/>
    </row>
    <row r="69" spans="2:11" x14ac:dyDescent="0.35">
      <c r="B69" s="36" t="s">
        <v>42</v>
      </c>
      <c r="C69" s="9">
        <f>'Data Sheet'!G69</f>
        <v>4659.0200000000004</v>
      </c>
      <c r="D69" s="9">
        <f>'Data Sheet'!H69</f>
        <v>4654.42</v>
      </c>
      <c r="E69" s="9">
        <f>'Data Sheet'!I69</f>
        <v>4880.1899999999996</v>
      </c>
      <c r="F69" s="9">
        <f>'Data Sheet'!J69</f>
        <v>7217.68</v>
      </c>
      <c r="G69" s="9">
        <f>'Data Sheet'!K69</f>
        <v>4012.36</v>
      </c>
      <c r="H69" s="9"/>
    </row>
    <row r="70" spans="2:11" ht="15" thickBot="1" x14ac:dyDescent="0.4">
      <c r="B70" s="36" t="s">
        <v>39</v>
      </c>
      <c r="C70" s="9">
        <f>'Data Sheet'!G65-SUM('Data Sheet'!G67:G69)</f>
        <v>4022.239999999998</v>
      </c>
      <c r="D70" s="9">
        <f>'Data Sheet'!H65-SUM('Data Sheet'!H67:H69)</f>
        <v>6917.41</v>
      </c>
      <c r="E70" s="9">
        <f>'Data Sheet'!I65-SUM('Data Sheet'!I67:I69)</f>
        <v>7953.8499999999985</v>
      </c>
      <c r="F70" s="9">
        <f>'Data Sheet'!J65-SUM('Data Sheet'!J67:J69)</f>
        <v>4562.57</v>
      </c>
      <c r="G70" s="9">
        <f>'Data Sheet'!K65-SUM('Data Sheet'!K67:K69)</f>
        <v>5867.5299999999988</v>
      </c>
      <c r="H70" s="9"/>
    </row>
    <row r="71" spans="2:11" ht="15" thickBot="1" x14ac:dyDescent="0.4">
      <c r="B71" s="30" t="s">
        <v>35</v>
      </c>
      <c r="C71" s="31">
        <f t="shared" ref="C71:G71" si="18">SUM(C64:C70)</f>
        <v>73760.760000000009</v>
      </c>
      <c r="D71" s="31">
        <f t="shared" si="18"/>
        <v>77196.02</v>
      </c>
      <c r="E71" s="31">
        <f t="shared" si="18"/>
        <v>85830.959999999992</v>
      </c>
      <c r="F71" s="31">
        <f t="shared" si="18"/>
        <v>91753.97000000003</v>
      </c>
      <c r="G71" s="31">
        <f t="shared" si="18"/>
        <v>88002.7</v>
      </c>
      <c r="H71" s="9"/>
    </row>
    <row r="72" spans="2:11" x14ac:dyDescent="0.35">
      <c r="B72" s="10"/>
      <c r="C72" s="9"/>
      <c r="D72" s="9"/>
      <c r="E72" s="9"/>
      <c r="F72" s="9"/>
      <c r="G72" s="9"/>
      <c r="H72" s="9"/>
    </row>
    <row r="73" spans="2:11" ht="20.5" thickBot="1" x14ac:dyDescent="0.4">
      <c r="B73" s="138" t="s">
        <v>81</v>
      </c>
      <c r="C73" s="138"/>
      <c r="D73" s="138"/>
      <c r="E73" s="138"/>
      <c r="F73" s="138"/>
      <c r="G73" s="138"/>
      <c r="H73" s="138"/>
      <c r="I73" s="138"/>
      <c r="J73" s="138"/>
      <c r="K73" s="138"/>
    </row>
    <row r="74" spans="2:11" ht="15" thickBot="1" x14ac:dyDescent="0.4">
      <c r="B74" s="12" t="s">
        <v>82</v>
      </c>
      <c r="C74" s="37" t="s">
        <v>83</v>
      </c>
      <c r="D74" s="37" t="s">
        <v>84</v>
      </c>
      <c r="E74" s="37" t="s">
        <v>85</v>
      </c>
      <c r="F74" s="37" t="s">
        <v>86</v>
      </c>
      <c r="G74" s="37" t="s">
        <v>87</v>
      </c>
      <c r="H74" s="9"/>
    </row>
    <row r="75" spans="2:11" ht="15" thickBot="1" x14ac:dyDescent="0.4">
      <c r="B75" s="14" t="s">
        <v>88</v>
      </c>
      <c r="C75" s="20" cm="1">
        <f t="array" ref="C75:G75">CHOOSE(D77,C78:G78,C79:G79,C80:G80)</f>
        <v>0.2</v>
      </c>
      <c r="D75" s="20">
        <v>0.18000000000000002</v>
      </c>
      <c r="E75" s="20">
        <v>0.16000000000000003</v>
      </c>
      <c r="F75" s="20">
        <v>0.14000000000000004</v>
      </c>
      <c r="G75" s="20">
        <v>0.12000000000000004</v>
      </c>
      <c r="H75" s="9"/>
    </row>
    <row r="76" spans="2:11" ht="15" thickBot="1" x14ac:dyDescent="0.4">
      <c r="B76" s="14" t="s">
        <v>89</v>
      </c>
      <c r="C76" s="38">
        <f>G33*(1+C75)</f>
        <v>90388.007999999987</v>
      </c>
      <c r="D76" s="38">
        <f t="shared" ref="D76:G76" si="19">C76*(1+D75)</f>
        <v>106657.84943999998</v>
      </c>
      <c r="E76" s="38">
        <f t="shared" si="19"/>
        <v>123723.10535039999</v>
      </c>
      <c r="F76" s="38">
        <f t="shared" si="19"/>
        <v>141044.34009945599</v>
      </c>
      <c r="G76" s="38">
        <f t="shared" si="19"/>
        <v>157969.66091139073</v>
      </c>
      <c r="H76" s="9"/>
    </row>
    <row r="77" spans="2:11" ht="15" thickBot="1" x14ac:dyDescent="0.4">
      <c r="B77" s="39" t="s">
        <v>90</v>
      </c>
      <c r="C77" s="40" t="s">
        <v>92</v>
      </c>
      <c r="D77" s="61">
        <f>MATCH(C77,B78:B80)</f>
        <v>1</v>
      </c>
      <c r="E77" s="41"/>
      <c r="F77" s="41"/>
      <c r="G77" s="42"/>
      <c r="H77" s="9"/>
    </row>
    <row r="78" spans="2:11" ht="15" thickBot="1" x14ac:dyDescent="0.4">
      <c r="B78" s="43" t="s">
        <v>92</v>
      </c>
      <c r="C78" s="44">
        <f>C20</f>
        <v>0.2</v>
      </c>
      <c r="D78" s="44">
        <f t="shared" ref="D78:G80" si="20">C78-Taper_rate</f>
        <v>0.18000000000000002</v>
      </c>
      <c r="E78" s="44">
        <f t="shared" si="20"/>
        <v>0.16000000000000003</v>
      </c>
      <c r="F78" s="44">
        <f t="shared" si="20"/>
        <v>0.14000000000000004</v>
      </c>
      <c r="G78" s="45">
        <f t="shared" si="20"/>
        <v>0.12000000000000004</v>
      </c>
      <c r="H78" s="9"/>
    </row>
    <row r="79" spans="2:11" ht="15" thickBot="1" x14ac:dyDescent="0.4">
      <c r="B79" s="46" t="s">
        <v>91</v>
      </c>
      <c r="C79" s="44">
        <f>C78+5%</f>
        <v>0.25</v>
      </c>
      <c r="D79" s="44">
        <f t="shared" si="20"/>
        <v>0.23</v>
      </c>
      <c r="E79" s="44">
        <f t="shared" si="20"/>
        <v>0.21000000000000002</v>
      </c>
      <c r="F79" s="44">
        <f t="shared" si="20"/>
        <v>0.19000000000000003</v>
      </c>
      <c r="G79" s="45">
        <f t="shared" si="20"/>
        <v>0.17000000000000004</v>
      </c>
      <c r="H79" s="9"/>
    </row>
    <row r="80" spans="2:11" ht="15" thickBot="1" x14ac:dyDescent="0.4">
      <c r="B80" s="46" t="s">
        <v>93</v>
      </c>
      <c r="C80" s="44">
        <f>C78-5%</f>
        <v>0.15000000000000002</v>
      </c>
      <c r="D80" s="44">
        <f t="shared" si="20"/>
        <v>0.13000000000000003</v>
      </c>
      <c r="E80" s="44">
        <f t="shared" si="20"/>
        <v>0.11000000000000003</v>
      </c>
      <c r="F80" s="44">
        <f t="shared" si="20"/>
        <v>9.0000000000000024E-2</v>
      </c>
      <c r="G80" s="45">
        <f t="shared" si="20"/>
        <v>7.0000000000000021E-2</v>
      </c>
      <c r="H80" s="9"/>
    </row>
    <row r="81" spans="2:11" x14ac:dyDescent="0.35">
      <c r="B81" s="10"/>
      <c r="C81" s="9"/>
      <c r="D81" s="9"/>
      <c r="E81" s="9"/>
      <c r="F81" s="9"/>
      <c r="G81" s="9"/>
      <c r="H81" s="9"/>
    </row>
    <row r="82" spans="2:11" ht="20.5" thickBot="1" x14ac:dyDescent="0.4">
      <c r="B82" s="138" t="s">
        <v>94</v>
      </c>
      <c r="C82" s="138"/>
      <c r="D82" s="138"/>
      <c r="E82" s="138"/>
      <c r="F82" s="138"/>
      <c r="G82" s="138"/>
      <c r="H82" s="138"/>
      <c r="I82" s="138"/>
      <c r="J82" s="138"/>
      <c r="K82" s="138"/>
    </row>
    <row r="83" spans="2:11" ht="15" thickBot="1" x14ac:dyDescent="0.4">
      <c r="B83" s="12" t="s">
        <v>69</v>
      </c>
      <c r="C83" s="37" t="s">
        <v>83</v>
      </c>
      <c r="D83" s="37" t="s">
        <v>84</v>
      </c>
      <c r="E83" s="37" t="s">
        <v>85</v>
      </c>
      <c r="F83" s="37" t="s">
        <v>86</v>
      </c>
      <c r="G83" s="37" t="s">
        <v>87</v>
      </c>
      <c r="H83" s="9"/>
    </row>
    <row r="84" spans="2:11" ht="15" thickBot="1" x14ac:dyDescent="0.4">
      <c r="B84" s="14" t="s">
        <v>95</v>
      </c>
      <c r="C84" s="47">
        <f t="shared" ref="C84:G84" si="21">C76</f>
        <v>90388.007999999987</v>
      </c>
      <c r="D84" s="47">
        <f t="shared" si="21"/>
        <v>106657.84943999998</v>
      </c>
      <c r="E84" s="47">
        <f t="shared" si="21"/>
        <v>123723.10535039999</v>
      </c>
      <c r="F84" s="47">
        <f t="shared" si="21"/>
        <v>141044.34009945599</v>
      </c>
      <c r="G84" s="47">
        <f t="shared" si="21"/>
        <v>157969.66091139073</v>
      </c>
      <c r="H84" s="9"/>
    </row>
    <row r="85" spans="2:11" ht="15" thickBot="1" x14ac:dyDescent="0.4">
      <c r="B85" s="14" t="s">
        <v>96</v>
      </c>
      <c r="C85" s="20">
        <f>D42</f>
        <v>0.34006606365552444</v>
      </c>
      <c r="D85" s="20">
        <f t="shared" ref="D85:G85" si="22">C85</f>
        <v>0.34006606365552444</v>
      </c>
      <c r="E85" s="20">
        <f t="shared" si="22"/>
        <v>0.34006606365552444</v>
      </c>
      <c r="F85" s="20">
        <f t="shared" si="22"/>
        <v>0.34006606365552444</v>
      </c>
      <c r="G85" s="20">
        <f t="shared" si="22"/>
        <v>0.34006606365552444</v>
      </c>
      <c r="H85" s="9"/>
    </row>
    <row r="86" spans="2:11" ht="15" thickBot="1" x14ac:dyDescent="0.4">
      <c r="B86" s="14" t="s">
        <v>77</v>
      </c>
      <c r="C86" s="47">
        <f t="shared" ref="C86:G86" si="23">C85*C84</f>
        <v>30737.894082224047</v>
      </c>
      <c r="D86" s="47">
        <f t="shared" si="23"/>
        <v>36270.715017024377</v>
      </c>
      <c r="E86" s="47">
        <f t="shared" si="23"/>
        <v>42074.02941974828</v>
      </c>
      <c r="F86" s="47">
        <f t="shared" si="23"/>
        <v>47964.393538513039</v>
      </c>
      <c r="G86" s="47">
        <f t="shared" si="23"/>
        <v>53720.120763134611</v>
      </c>
      <c r="H86" s="9"/>
    </row>
    <row r="87" spans="2:11" ht="15" thickBot="1" x14ac:dyDescent="0.4">
      <c r="B87" s="14" t="s">
        <v>97</v>
      </c>
      <c r="C87" s="47">
        <f t="shared" ref="C87:G87" si="24">C84*AVERAGE(C44:G44)</f>
        <v>2380.5672063264828</v>
      </c>
      <c r="D87" s="47">
        <f t="shared" si="24"/>
        <v>2620.5318350315647</v>
      </c>
      <c r="E87" s="47">
        <f t="shared" si="24"/>
        <v>2874.9719394658068</v>
      </c>
      <c r="F87" s="47">
        <f t="shared" si="24"/>
        <v>3117.3151614116869</v>
      </c>
      <c r="G87" s="47">
        <f t="shared" si="24"/>
        <v>3452.6962313625604</v>
      </c>
      <c r="H87" s="9"/>
    </row>
    <row r="88" spans="2:11" ht="15" thickBot="1" x14ac:dyDescent="0.4">
      <c r="B88" s="14" t="s">
        <v>78</v>
      </c>
      <c r="C88" s="47">
        <f t="shared" ref="C88:G88" si="25">C86-C87</f>
        <v>28357.326875897565</v>
      </c>
      <c r="D88" s="47">
        <f t="shared" si="25"/>
        <v>33650.183181992812</v>
      </c>
      <c r="E88" s="47">
        <f t="shared" si="25"/>
        <v>39199.05748028247</v>
      </c>
      <c r="F88" s="47">
        <f t="shared" si="25"/>
        <v>44847.078377101352</v>
      </c>
      <c r="G88" s="47">
        <f t="shared" si="25"/>
        <v>50267.424531772049</v>
      </c>
      <c r="H88" s="9"/>
    </row>
    <row r="89" spans="2:11" ht="15" thickBot="1" x14ac:dyDescent="0.4">
      <c r="B89" s="14" t="s">
        <v>98</v>
      </c>
      <c r="C89" s="47">
        <f>C88*Tax_Rate</f>
        <v>7089.3317189743912</v>
      </c>
      <c r="D89" s="47">
        <f>D88*Tax_Rate</f>
        <v>8412.545795498203</v>
      </c>
      <c r="E89" s="47">
        <f>E88*Tax_Rate</f>
        <v>9799.7643700706176</v>
      </c>
      <c r="F89" s="47">
        <f>F88*Tax_Rate</f>
        <v>11211.769594275338</v>
      </c>
      <c r="G89" s="47">
        <f>G88*Tax_Rate</f>
        <v>12566.856132943012</v>
      </c>
      <c r="H89" s="9"/>
    </row>
    <row r="90" spans="2:11" ht="15" thickBot="1" x14ac:dyDescent="0.4">
      <c r="B90" s="14" t="s">
        <v>99</v>
      </c>
      <c r="C90" s="47">
        <f t="shared" ref="C90:G90" si="26">C88-C89</f>
        <v>21267.995156923174</v>
      </c>
      <c r="D90" s="47">
        <f t="shared" si="26"/>
        <v>25237.637386494607</v>
      </c>
      <c r="E90" s="47">
        <f t="shared" si="26"/>
        <v>29399.293110211853</v>
      </c>
      <c r="F90" s="47">
        <f t="shared" si="26"/>
        <v>33635.308782826018</v>
      </c>
      <c r="G90" s="47">
        <f t="shared" si="26"/>
        <v>37700.56839882904</v>
      </c>
      <c r="H90" s="9"/>
    </row>
    <row r="91" spans="2:11" ht="15" thickBot="1" x14ac:dyDescent="0.4">
      <c r="B91" s="14" t="s">
        <v>100</v>
      </c>
      <c r="C91" s="47">
        <f t="shared" ref="C91:G91" si="27">C87</f>
        <v>2380.5672063264828</v>
      </c>
      <c r="D91" s="47">
        <f t="shared" si="27"/>
        <v>2620.5318350315647</v>
      </c>
      <c r="E91" s="47">
        <f t="shared" si="27"/>
        <v>2874.9719394658068</v>
      </c>
      <c r="F91" s="47">
        <f t="shared" si="27"/>
        <v>3117.3151614116869</v>
      </c>
      <c r="G91" s="47">
        <f t="shared" si="27"/>
        <v>3452.6962313625604</v>
      </c>
      <c r="H91" s="9"/>
    </row>
    <row r="92" spans="2:11" ht="15" thickBot="1" x14ac:dyDescent="0.4">
      <c r="B92" s="14" t="s">
        <v>101</v>
      </c>
      <c r="C92" s="48">
        <f t="shared" ref="C92:G92" si="28">-C90*$C$26</f>
        <v>-6380.3985470769521</v>
      </c>
      <c r="D92" s="48">
        <f t="shared" si="28"/>
        <v>-7571.2912159483822</v>
      </c>
      <c r="E92" s="48">
        <f t="shared" si="28"/>
        <v>-8819.7879330635551</v>
      </c>
      <c r="F92" s="48">
        <f t="shared" si="28"/>
        <v>-10090.592634847804</v>
      </c>
      <c r="G92" s="48">
        <f t="shared" si="28"/>
        <v>-11310.170519648711</v>
      </c>
      <c r="H92" s="9"/>
    </row>
    <row r="93" spans="2:11" ht="15" thickBot="1" x14ac:dyDescent="0.4">
      <c r="B93" s="49" t="s">
        <v>102</v>
      </c>
      <c r="C93" s="50">
        <f t="shared" ref="C93:G93" si="29">SUM(C84:C92)</f>
        <v>176221.63176565885</v>
      </c>
      <c r="D93" s="50">
        <f t="shared" si="29"/>
        <v>207899.04334118843</v>
      </c>
      <c r="E93" s="50">
        <f t="shared" si="29"/>
        <v>241125.74574264494</v>
      </c>
      <c r="F93" s="50">
        <f t="shared" si="29"/>
        <v>274847.26814621099</v>
      </c>
      <c r="G93" s="50">
        <f t="shared" si="29"/>
        <v>307820.19274720951</v>
      </c>
      <c r="H93" s="9"/>
    </row>
    <row r="94" spans="2:11" x14ac:dyDescent="0.35">
      <c r="B94" s="10"/>
      <c r="C94" s="9"/>
      <c r="D94" s="9"/>
      <c r="E94" s="9"/>
      <c r="F94" s="9"/>
      <c r="G94" s="9"/>
      <c r="H94" s="9"/>
    </row>
    <row r="95" spans="2:11" ht="23" x14ac:dyDescent="0.35">
      <c r="B95" s="133" t="s">
        <v>103</v>
      </c>
      <c r="C95" s="133"/>
      <c r="D95" s="133"/>
      <c r="E95" s="133"/>
      <c r="F95" s="133"/>
      <c r="G95" s="133"/>
      <c r="H95" s="133"/>
      <c r="I95" s="133"/>
      <c r="J95" s="133"/>
      <c r="K95" s="133"/>
    </row>
    <row r="96" spans="2:11" ht="16" thickBot="1" x14ac:dyDescent="0.4">
      <c r="B96" s="25"/>
      <c r="C96" s="25"/>
      <c r="D96" s="9"/>
      <c r="E96" s="9"/>
      <c r="F96" s="9"/>
      <c r="G96" s="9"/>
      <c r="H96" s="9"/>
    </row>
    <row r="97" spans="2:8" ht="15" thickBot="1" x14ac:dyDescent="0.4">
      <c r="B97" s="51" t="s">
        <v>104</v>
      </c>
      <c r="C97" s="12"/>
      <c r="D97" s="9"/>
      <c r="E97" s="9"/>
      <c r="F97" s="9"/>
      <c r="G97" s="9"/>
      <c r="H97" s="9"/>
    </row>
    <row r="98" spans="2:8" ht="15" thickBot="1" x14ac:dyDescent="0.4">
      <c r="B98" s="52" t="s">
        <v>105</v>
      </c>
      <c r="C98" s="53">
        <f>'Comps '!F25</f>
        <v>8.1662892601661579E-3</v>
      </c>
      <c r="D98" s="9"/>
      <c r="E98" s="9"/>
      <c r="F98" s="9"/>
      <c r="G98" s="9"/>
      <c r="H98" s="9"/>
    </row>
    <row r="99" spans="2:8" ht="15" thickBot="1" x14ac:dyDescent="0.4">
      <c r="B99" s="52" t="s">
        <v>106</v>
      </c>
      <c r="C99" s="98">
        <f>1-C98</f>
        <v>0.99183371073983384</v>
      </c>
      <c r="D99" s="9"/>
      <c r="E99" s="9"/>
      <c r="F99" s="9"/>
      <c r="G99" s="9"/>
      <c r="H99" s="9"/>
    </row>
    <row r="100" spans="2:8" ht="15" thickBot="1" x14ac:dyDescent="0.4">
      <c r="B100" s="51" t="s">
        <v>107</v>
      </c>
      <c r="C100" s="12"/>
      <c r="D100" s="9"/>
      <c r="E100" s="9"/>
      <c r="F100" s="9"/>
      <c r="G100" s="9"/>
      <c r="H100" s="9"/>
    </row>
    <row r="101" spans="2:8" ht="15" thickBot="1" x14ac:dyDescent="0.4">
      <c r="B101" s="52" t="s">
        <v>108</v>
      </c>
      <c r="C101" s="54">
        <f>'Comps '!E14</f>
        <v>501275.87</v>
      </c>
      <c r="D101" s="9"/>
      <c r="E101" s="9"/>
      <c r="F101" s="9"/>
      <c r="G101" s="9"/>
      <c r="H101" s="9"/>
    </row>
    <row r="102" spans="2:8" ht="15" thickBot="1" x14ac:dyDescent="0.4">
      <c r="B102" s="52" t="s">
        <v>109</v>
      </c>
      <c r="C102" s="54">
        <f>'Comps '!J14</f>
        <v>362.97</v>
      </c>
      <c r="D102" s="9"/>
      <c r="E102" s="9"/>
      <c r="F102" s="9"/>
      <c r="G102" s="9"/>
      <c r="H102" s="9"/>
    </row>
    <row r="103" spans="2:8" ht="15" thickBot="1" x14ac:dyDescent="0.4">
      <c r="B103" s="52" t="s">
        <v>110</v>
      </c>
      <c r="C103" s="53">
        <f>C102/C101</f>
        <v>7.240923047023988E-4</v>
      </c>
      <c r="D103" s="9"/>
      <c r="E103" s="9"/>
      <c r="F103" s="9"/>
      <c r="G103" s="9"/>
      <c r="H103" s="9"/>
    </row>
    <row r="104" spans="2:8" ht="15" thickBot="1" x14ac:dyDescent="0.4">
      <c r="B104" s="51" t="s">
        <v>111</v>
      </c>
      <c r="C104" s="12"/>
      <c r="D104" s="9"/>
      <c r="E104" s="9"/>
      <c r="F104" s="9"/>
      <c r="G104" s="9"/>
      <c r="H104" s="9"/>
    </row>
    <row r="105" spans="2:8" ht="15" thickBot="1" x14ac:dyDescent="0.4">
      <c r="B105" s="52" t="s">
        <v>112</v>
      </c>
      <c r="C105" s="53">
        <f>C27</f>
        <v>0.08</v>
      </c>
      <c r="D105" s="9"/>
      <c r="E105" s="9"/>
      <c r="F105" s="9"/>
      <c r="G105" s="9"/>
      <c r="H105" s="9"/>
    </row>
    <row r="106" spans="2:8" ht="15" thickBot="1" x14ac:dyDescent="0.4">
      <c r="B106" s="52" t="s">
        <v>66</v>
      </c>
      <c r="C106" s="53">
        <f>Tax_Rate</f>
        <v>0.25</v>
      </c>
      <c r="D106" s="9"/>
      <c r="E106" s="9"/>
      <c r="F106" s="9"/>
      <c r="G106" s="9"/>
      <c r="H106" s="9"/>
    </row>
    <row r="107" spans="2:8" ht="15" thickBot="1" x14ac:dyDescent="0.4">
      <c r="B107" s="52" t="s">
        <v>113</v>
      </c>
      <c r="C107" s="53">
        <f>C105*(1-C106)</f>
        <v>0.06</v>
      </c>
      <c r="D107" s="9"/>
      <c r="E107" s="9"/>
      <c r="F107" s="9"/>
      <c r="G107" s="9"/>
      <c r="H107" s="9"/>
    </row>
    <row r="108" spans="2:8" ht="15" thickBot="1" x14ac:dyDescent="0.4">
      <c r="B108" s="51" t="s">
        <v>114</v>
      </c>
      <c r="C108" s="12"/>
      <c r="D108" s="9"/>
      <c r="E108" s="9"/>
      <c r="F108" s="9"/>
      <c r="G108" s="9"/>
      <c r="H108" s="9"/>
    </row>
    <row r="109" spans="2:8" ht="15" thickBot="1" x14ac:dyDescent="0.4">
      <c r="B109" s="52" t="s">
        <v>115</v>
      </c>
      <c r="C109" s="53">
        <f>C23</f>
        <v>6.5000000000000002E-2</v>
      </c>
      <c r="D109" s="9"/>
      <c r="E109" s="9"/>
      <c r="F109" s="9"/>
      <c r="G109" s="9"/>
      <c r="H109" s="9"/>
    </row>
    <row r="110" spans="2:8" ht="15" thickBot="1" x14ac:dyDescent="0.4">
      <c r="B110" s="52" t="s">
        <v>116</v>
      </c>
      <c r="C110" s="53">
        <f>C24</f>
        <v>5.4999999999999993E-2</v>
      </c>
      <c r="D110" s="9"/>
      <c r="E110" s="9"/>
      <c r="F110" s="9"/>
      <c r="G110" s="9"/>
      <c r="H110" s="9"/>
    </row>
    <row r="111" spans="2:8" ht="15" thickBot="1" x14ac:dyDescent="0.4">
      <c r="B111" s="52" t="s">
        <v>117</v>
      </c>
      <c r="C111" s="55">
        <f>'Comps '!H25</f>
        <v>0.745</v>
      </c>
      <c r="D111" s="9"/>
      <c r="E111" s="9"/>
      <c r="F111" s="9"/>
      <c r="G111" s="9"/>
      <c r="H111" s="9"/>
    </row>
    <row r="112" spans="2:8" ht="15" thickBot="1" x14ac:dyDescent="0.4">
      <c r="B112" s="52" t="s">
        <v>114</v>
      </c>
      <c r="C112" s="53">
        <f>C109+C111*C110</f>
        <v>0.105975</v>
      </c>
      <c r="D112" s="9"/>
      <c r="E112" s="9"/>
      <c r="F112" s="9"/>
      <c r="G112" s="9"/>
      <c r="H112" s="9"/>
    </row>
    <row r="113" spans="2:11" ht="18.5" thickBot="1" x14ac:dyDescent="0.4">
      <c r="B113" s="56" t="s">
        <v>118</v>
      </c>
      <c r="C113" s="57">
        <f>(C112*C99)+(C107*C98)</f>
        <v>0.10559955485126386</v>
      </c>
      <c r="D113" s="9"/>
      <c r="E113" s="9"/>
      <c r="F113" s="9"/>
      <c r="G113" s="9"/>
      <c r="H113" s="9"/>
    </row>
    <row r="114" spans="2:11" x14ac:dyDescent="0.35">
      <c r="B114" s="10"/>
      <c r="C114" s="9"/>
      <c r="D114" s="9"/>
      <c r="E114" s="9"/>
      <c r="F114" s="9"/>
      <c r="G114" s="9"/>
      <c r="H114" s="9"/>
    </row>
    <row r="115" spans="2:11" ht="23" x14ac:dyDescent="0.35">
      <c r="B115" s="133" t="s">
        <v>119</v>
      </c>
      <c r="C115" s="133"/>
      <c r="D115" s="133"/>
      <c r="E115" s="133"/>
      <c r="F115" s="133"/>
      <c r="G115" s="133"/>
      <c r="H115" s="133"/>
      <c r="I115" s="133"/>
      <c r="J115" s="133"/>
      <c r="K115" s="133"/>
    </row>
    <row r="116" spans="2:11" ht="15" thickBot="1" x14ac:dyDescent="0.4">
      <c r="B116" s="10"/>
      <c r="C116" s="9"/>
      <c r="D116" s="9"/>
      <c r="E116" s="9"/>
      <c r="F116" s="9"/>
      <c r="G116" s="9"/>
      <c r="H116" s="9"/>
    </row>
    <row r="117" spans="2:11" ht="15" thickBot="1" x14ac:dyDescent="0.4">
      <c r="B117" s="14" t="s">
        <v>120</v>
      </c>
      <c r="C117" s="38">
        <f>G93</f>
        <v>307820.19274720951</v>
      </c>
      <c r="D117" s="9"/>
      <c r="E117" s="9"/>
      <c r="F117" s="9"/>
      <c r="G117" s="9"/>
      <c r="H117" s="9"/>
    </row>
    <row r="118" spans="2:11" ht="15" thickBot="1" x14ac:dyDescent="0.4">
      <c r="B118" s="14" t="s">
        <v>121</v>
      </c>
      <c r="C118" s="21">
        <f>C22</f>
        <v>0.06</v>
      </c>
      <c r="D118" s="9"/>
      <c r="E118" s="9"/>
      <c r="F118" s="9"/>
      <c r="G118" s="9"/>
      <c r="H118" s="9"/>
    </row>
    <row r="119" spans="2:11" ht="15" thickBot="1" x14ac:dyDescent="0.4">
      <c r="B119" s="14" t="s">
        <v>122</v>
      </c>
      <c r="C119" s="58"/>
      <c r="D119" s="9"/>
      <c r="E119" s="9"/>
      <c r="F119" s="29"/>
      <c r="G119" s="9"/>
      <c r="H119" s="9"/>
    </row>
    <row r="120" spans="2:11" ht="15" thickBot="1" x14ac:dyDescent="0.4">
      <c r="B120" s="49" t="s">
        <v>123</v>
      </c>
      <c r="C120" s="59">
        <f>C117*(1+C118)/(C113-C118)</f>
        <v>7155539.2454231046</v>
      </c>
      <c r="D120" s="9"/>
      <c r="E120" s="9"/>
      <c r="F120" s="9"/>
      <c r="G120" s="9"/>
      <c r="H120" s="9"/>
    </row>
    <row r="121" spans="2:11" x14ac:dyDescent="0.35">
      <c r="B121" s="10"/>
      <c r="C121" s="9"/>
      <c r="D121" s="9"/>
      <c r="E121" s="9"/>
      <c r="F121" s="9"/>
      <c r="G121" s="9"/>
      <c r="H121" s="9"/>
    </row>
    <row r="122" spans="2:11" ht="23" x14ac:dyDescent="0.35">
      <c r="B122" s="133" t="s">
        <v>124</v>
      </c>
      <c r="C122" s="133"/>
      <c r="D122" s="133"/>
      <c r="E122" s="133"/>
      <c r="F122" s="133"/>
      <c r="G122" s="133"/>
      <c r="H122" s="133"/>
      <c r="I122" s="133"/>
      <c r="J122" s="133"/>
      <c r="K122" s="133"/>
    </row>
    <row r="123" spans="2:11" ht="15" thickBot="1" x14ac:dyDescent="0.4">
      <c r="B123" s="10"/>
      <c r="C123" s="9"/>
      <c r="D123" s="9"/>
      <c r="E123" s="9"/>
      <c r="F123" s="9"/>
      <c r="G123" s="9"/>
      <c r="H123" s="9"/>
    </row>
    <row r="124" spans="2:11" ht="15" thickBot="1" x14ac:dyDescent="0.4">
      <c r="B124" s="12" t="s">
        <v>82</v>
      </c>
      <c r="C124" s="37" t="s">
        <v>83</v>
      </c>
      <c r="D124" s="37" t="s">
        <v>84</v>
      </c>
      <c r="E124" s="37" t="s">
        <v>85</v>
      </c>
      <c r="F124" s="37" t="s">
        <v>86</v>
      </c>
      <c r="G124" s="37" t="s">
        <v>87</v>
      </c>
      <c r="H124" s="37" t="s">
        <v>123</v>
      </c>
    </row>
    <row r="125" spans="2:11" ht="15" thickBot="1" x14ac:dyDescent="0.4">
      <c r="B125" s="14" t="s">
        <v>125</v>
      </c>
      <c r="C125" s="38">
        <f t="shared" ref="C125:G125" si="30">C93</f>
        <v>176221.63176565885</v>
      </c>
      <c r="D125" s="38">
        <f t="shared" si="30"/>
        <v>207899.04334118843</v>
      </c>
      <c r="E125" s="38">
        <f t="shared" si="30"/>
        <v>241125.74574264494</v>
      </c>
      <c r="F125" s="38">
        <f t="shared" si="30"/>
        <v>274847.26814621099</v>
      </c>
      <c r="G125" s="38">
        <f t="shared" si="30"/>
        <v>307820.19274720951</v>
      </c>
      <c r="H125" s="38">
        <f>C120</f>
        <v>7155539.2454231046</v>
      </c>
    </row>
    <row r="126" spans="2:11" ht="15" thickBot="1" x14ac:dyDescent="0.4">
      <c r="B126" s="14" t="s">
        <v>126</v>
      </c>
      <c r="C126" s="60">
        <f t="shared" ref="C126" si="31">1*(1-$C$113)^1</f>
        <v>0.89440044514873618</v>
      </c>
      <c r="D126" s="60">
        <f>1*(1-$C$113)^2</f>
        <v>0.79995215628225746</v>
      </c>
      <c r="E126" s="60">
        <f>1*(1-$C$113)^3</f>
        <v>0.71547756467654244</v>
      </c>
      <c r="F126" s="60">
        <f>1*(1-$C$113)^4</f>
        <v>0.6399234523406333</v>
      </c>
      <c r="G126" s="60">
        <f>1*(1-$C$113)^5</f>
        <v>0.57234782063457845</v>
      </c>
      <c r="H126" s="60">
        <f>1*(1-$C$113)^5</f>
        <v>0.57234782063457845</v>
      </c>
    </row>
    <row r="127" spans="2:11" ht="15" thickBot="1" x14ac:dyDescent="0.4">
      <c r="B127" s="14" t="s">
        <v>127</v>
      </c>
      <c r="C127" s="38">
        <f t="shared" ref="C127:H127" si="32">C125*C126</f>
        <v>157612.70589604194</v>
      </c>
      <c r="D127" s="38">
        <f t="shared" si="32"/>
        <v>166309.28800980217</v>
      </c>
      <c r="E127" s="38">
        <f t="shared" si="32"/>
        <v>172520.06134476277</v>
      </c>
      <c r="F127" s="38">
        <f t="shared" si="32"/>
        <v>175881.2126985151</v>
      </c>
      <c r="G127" s="38">
        <f t="shared" si="32"/>
        <v>176180.21646618124</v>
      </c>
      <c r="H127" s="38">
        <f t="shared" si="32"/>
        <v>4095457.2925831098</v>
      </c>
    </row>
    <row r="130" spans="2:11" ht="23" x14ac:dyDescent="0.35">
      <c r="B130" s="133" t="s">
        <v>193</v>
      </c>
      <c r="C130" s="133"/>
      <c r="D130" s="133"/>
      <c r="E130" s="133"/>
      <c r="F130" s="133"/>
      <c r="G130" s="133"/>
      <c r="H130" s="133"/>
      <c r="I130" s="133"/>
      <c r="J130" s="133"/>
      <c r="K130" s="133"/>
    </row>
    <row r="131" spans="2:11" x14ac:dyDescent="0.35">
      <c r="B131" s="99"/>
      <c r="C131" s="9"/>
      <c r="D131" s="9"/>
      <c r="E131" s="9"/>
      <c r="F131" s="9"/>
      <c r="G131" s="9"/>
      <c r="H131" s="9"/>
    </row>
    <row r="132" spans="2:11" ht="16.5" x14ac:dyDescent="0.35">
      <c r="B132" s="100" t="s">
        <v>194</v>
      </c>
      <c r="C132" s="9"/>
      <c r="D132" s="9"/>
      <c r="E132" s="9"/>
      <c r="F132" s="9"/>
      <c r="G132" s="9"/>
      <c r="H132" s="9"/>
    </row>
    <row r="133" spans="2:11" x14ac:dyDescent="0.35">
      <c r="B133" s="101"/>
      <c r="C133" s="9"/>
      <c r="D133" s="9"/>
      <c r="E133" s="9"/>
      <c r="F133" s="9"/>
      <c r="G133" s="9"/>
      <c r="H133" s="9"/>
    </row>
    <row r="134" spans="2:11" ht="20" x14ac:dyDescent="0.35">
      <c r="B134" s="102">
        <f>SUM(C127:G127)</f>
        <v>848503.48441530322</v>
      </c>
      <c r="C134" s="9"/>
      <c r="D134" s="9"/>
      <c r="E134" s="9"/>
      <c r="F134" s="9"/>
      <c r="G134" s="9"/>
      <c r="H134" s="9"/>
    </row>
    <row r="135" spans="2:11" ht="17.5" x14ac:dyDescent="0.35">
      <c r="B135" s="103"/>
      <c r="C135" s="9"/>
      <c r="D135" s="9"/>
      <c r="E135" s="9"/>
      <c r="F135" s="9"/>
      <c r="G135" s="9"/>
      <c r="H135" s="9"/>
    </row>
    <row r="136" spans="2:11" x14ac:dyDescent="0.35">
      <c r="B136" s="99"/>
      <c r="C136" s="9"/>
      <c r="D136" s="9"/>
      <c r="E136" s="9"/>
      <c r="F136" s="9"/>
      <c r="G136" s="9"/>
      <c r="H136" s="9"/>
    </row>
    <row r="137" spans="2:11" ht="16.5" x14ac:dyDescent="0.35">
      <c r="B137" s="100" t="s">
        <v>195</v>
      </c>
      <c r="C137" s="9"/>
      <c r="D137" s="9"/>
      <c r="E137" s="9"/>
      <c r="F137" s="9"/>
      <c r="G137" s="9"/>
      <c r="H137" s="9"/>
    </row>
    <row r="138" spans="2:11" x14ac:dyDescent="0.35">
      <c r="B138" s="101"/>
      <c r="C138" s="9"/>
      <c r="D138" s="9"/>
      <c r="E138" s="9"/>
      <c r="F138" s="9"/>
      <c r="G138" s="9"/>
      <c r="H138" s="9"/>
    </row>
    <row r="139" spans="2:11" ht="20" x14ac:dyDescent="0.35">
      <c r="B139" s="102">
        <f>H127</f>
        <v>4095457.2925831098</v>
      </c>
      <c r="C139" s="9"/>
      <c r="D139" s="9"/>
      <c r="E139" s="9"/>
      <c r="F139" s="9"/>
      <c r="G139" s="9"/>
      <c r="H139" s="9"/>
    </row>
    <row r="140" spans="2:11" ht="17.5" x14ac:dyDescent="0.35">
      <c r="B140" s="103"/>
      <c r="C140" s="9"/>
      <c r="D140" s="9"/>
      <c r="E140" s="9"/>
      <c r="F140" s="9"/>
      <c r="G140" s="9"/>
      <c r="H140" s="9"/>
    </row>
    <row r="141" spans="2:11" x14ac:dyDescent="0.35">
      <c r="B141" s="99"/>
      <c r="C141" s="9"/>
      <c r="D141" s="9"/>
      <c r="E141" s="9"/>
      <c r="F141" s="9"/>
      <c r="G141" s="9"/>
      <c r="H141" s="9"/>
    </row>
    <row r="142" spans="2:11" ht="16.5" x14ac:dyDescent="0.35">
      <c r="B142" s="100" t="s">
        <v>196</v>
      </c>
      <c r="C142" s="9"/>
      <c r="D142" s="9"/>
      <c r="E142" s="9"/>
      <c r="F142" s="9"/>
      <c r="G142" s="9"/>
      <c r="H142" s="9"/>
    </row>
    <row r="143" spans="2:11" x14ac:dyDescent="0.35">
      <c r="B143" s="101"/>
      <c r="C143" s="9"/>
      <c r="D143" s="9"/>
      <c r="E143" s="9"/>
      <c r="F143" s="9"/>
      <c r="G143" s="9"/>
      <c r="H143" s="9"/>
    </row>
    <row r="144" spans="2:11" ht="24" x14ac:dyDescent="0.35">
      <c r="B144" s="104">
        <f>B139+B134</f>
        <v>4943960.7769984128</v>
      </c>
      <c r="C144" s="9"/>
      <c r="D144" s="9"/>
      <c r="E144" s="9"/>
      <c r="F144" s="9"/>
      <c r="G144" s="9"/>
      <c r="H144" s="9"/>
    </row>
    <row r="145" spans="2:11" ht="15" thickBot="1" x14ac:dyDescent="0.4">
      <c r="B145" s="105"/>
      <c r="C145" s="9"/>
      <c r="D145" s="9"/>
      <c r="E145" s="9"/>
      <c r="F145" s="9"/>
      <c r="G145" s="9"/>
      <c r="H145" s="9"/>
    </row>
    <row r="146" spans="2:11" ht="15" thickBot="1" x14ac:dyDescent="0.4">
      <c r="B146" s="14" t="s">
        <v>196</v>
      </c>
      <c r="C146" s="38">
        <f>B144</f>
        <v>4943960.7769984128</v>
      </c>
      <c r="D146" s="9"/>
      <c r="E146" s="9"/>
      <c r="F146" s="9"/>
      <c r="G146" s="9"/>
      <c r="H146" s="9"/>
    </row>
    <row r="147" spans="2:11" ht="15" thickBot="1" x14ac:dyDescent="0.4">
      <c r="B147" s="14" t="s">
        <v>197</v>
      </c>
      <c r="C147" s="38">
        <f>C102</f>
        <v>362.97</v>
      </c>
      <c r="D147" s="9"/>
      <c r="E147" s="9"/>
      <c r="F147" s="9"/>
      <c r="G147" s="9"/>
      <c r="H147" s="9"/>
    </row>
    <row r="148" spans="2:11" ht="15" thickBot="1" x14ac:dyDescent="0.4">
      <c r="B148" s="14" t="s">
        <v>198</v>
      </c>
      <c r="C148" s="38">
        <f>'Comps '!K14</f>
        <v>4012.36</v>
      </c>
      <c r="D148" s="9"/>
      <c r="E148" s="9"/>
      <c r="F148" s="9"/>
      <c r="G148" s="9"/>
      <c r="H148" s="9"/>
    </row>
    <row r="149" spans="2:11" ht="15" thickBot="1" x14ac:dyDescent="0.4">
      <c r="B149" s="49" t="s">
        <v>175</v>
      </c>
      <c r="C149" s="106">
        <f>C148+C146-C147</f>
        <v>4947610.1669984134</v>
      </c>
      <c r="D149" s="9"/>
      <c r="E149" s="9"/>
      <c r="F149" s="9"/>
      <c r="G149" s="9"/>
      <c r="H149" s="9"/>
    </row>
    <row r="150" spans="2:11" ht="15" thickBot="1" x14ac:dyDescent="0.4">
      <c r="B150" s="14" t="s">
        <v>199</v>
      </c>
      <c r="C150" s="107">
        <f>'Data Sheet'!K93</f>
        <v>1251.4100000000001</v>
      </c>
      <c r="D150" s="9"/>
      <c r="E150" s="9"/>
      <c r="F150" s="9"/>
      <c r="G150" s="9"/>
      <c r="H150" s="9"/>
    </row>
    <row r="151" spans="2:11" ht="18.5" thickBot="1" x14ac:dyDescent="0.4">
      <c r="B151" s="108" t="s">
        <v>200</v>
      </c>
      <c r="C151" s="109">
        <f>C149/C150</f>
        <v>3953.6284407176008</v>
      </c>
      <c r="D151" s="118"/>
      <c r="E151" s="9"/>
      <c r="F151" s="9"/>
      <c r="G151" s="9"/>
      <c r="H151" s="9"/>
    </row>
    <row r="152" spans="2:11" ht="15" thickBot="1" x14ac:dyDescent="0.4">
      <c r="B152" s="14" t="s">
        <v>201</v>
      </c>
      <c r="C152" s="110">
        <f>'Comps '!D14</f>
        <v>400.1</v>
      </c>
      <c r="D152" s="9"/>
      <c r="E152" s="118"/>
      <c r="F152" s="9"/>
      <c r="G152" s="9"/>
      <c r="H152" s="9"/>
    </row>
    <row r="153" spans="2:11" ht="15" thickBot="1" x14ac:dyDescent="0.4">
      <c r="B153" s="14" t="s">
        <v>202</v>
      </c>
      <c r="C153" s="111">
        <f>C151/C152-1</f>
        <v>8.8816007016185967</v>
      </c>
      <c r="D153" s="9"/>
      <c r="E153" s="9"/>
      <c r="F153" s="9"/>
      <c r="G153" s="9"/>
      <c r="H153" s="9"/>
    </row>
    <row r="156" spans="2:11" ht="23.5" thickBot="1" x14ac:dyDescent="0.4">
      <c r="B156" s="133" t="s">
        <v>203</v>
      </c>
      <c r="C156" s="133"/>
      <c r="D156" s="133"/>
      <c r="E156" s="133"/>
      <c r="F156" s="133"/>
      <c r="G156" s="133"/>
      <c r="H156" s="133"/>
      <c r="I156" s="133"/>
      <c r="J156" s="133"/>
      <c r="K156" s="133"/>
    </row>
    <row r="157" spans="2:11" ht="15" thickBot="1" x14ac:dyDescent="0.4">
      <c r="B157" s="12" t="s">
        <v>204</v>
      </c>
      <c r="C157" s="9"/>
      <c r="D157" s="9"/>
      <c r="E157" s="9"/>
      <c r="F157" s="9"/>
      <c r="G157" s="9"/>
      <c r="H157" s="9"/>
    </row>
    <row r="158" spans="2:11" ht="15" thickBot="1" x14ac:dyDescent="0.4">
      <c r="B158" s="112">
        <f>C151</f>
        <v>3953.6284407176008</v>
      </c>
      <c r="C158" s="113">
        <f t="shared" ref="C158:D158" si="33">D158-1%</f>
        <v>8.5599554851263873E-2</v>
      </c>
      <c r="D158" s="113">
        <f t="shared" si="33"/>
        <v>9.5599554851263868E-2</v>
      </c>
      <c r="E158" s="113">
        <f>C113</f>
        <v>0.10559955485126386</v>
      </c>
      <c r="F158" s="113">
        <f t="shared" ref="F158:G158" si="34">E158+1%</f>
        <v>0.11559955485126386</v>
      </c>
      <c r="G158" s="113">
        <f t="shared" si="34"/>
        <v>0.12559955485126387</v>
      </c>
      <c r="H158" s="113"/>
    </row>
    <row r="159" spans="2:11" ht="15" thickBot="1" x14ac:dyDescent="0.4">
      <c r="B159" s="114">
        <f t="shared" ref="B159:B160" si="35">B160-1%</f>
        <v>3.9999999999999994E-2</v>
      </c>
      <c r="C159" s="110">
        <f t="dataTable" ref="C159:G163" dt2D="1" dtr="1" r1="C152" r2="C22" ca="1"/>
        <v>2912.9324687640915</v>
      </c>
      <c r="D159" s="110">
        <v>2912.9324687640915</v>
      </c>
      <c r="E159" s="110">
        <v>2912.9324687640915</v>
      </c>
      <c r="F159" s="110">
        <v>2912.9324687640915</v>
      </c>
      <c r="G159" s="110">
        <v>2912.9324687640915</v>
      </c>
      <c r="H159" s="110"/>
    </row>
    <row r="160" spans="2:11" ht="15" thickBot="1" x14ac:dyDescent="0.4">
      <c r="B160" s="114">
        <f t="shared" si="35"/>
        <v>4.9999999999999996E-2</v>
      </c>
      <c r="C160" s="110">
        <v>2599.0729946577435</v>
      </c>
      <c r="D160" s="110">
        <v>2599.0729946577435</v>
      </c>
      <c r="E160" s="110">
        <v>2599.0729946577435</v>
      </c>
      <c r="F160" s="110">
        <v>2599.0729946577435</v>
      </c>
      <c r="G160" s="110">
        <v>2599.0729946577435</v>
      </c>
      <c r="H160" s="110"/>
    </row>
    <row r="161" spans="2:11" ht="15" thickBot="1" x14ac:dyDescent="0.4">
      <c r="B161" s="115">
        <f>C22</f>
        <v>0.06</v>
      </c>
      <c r="C161" s="110">
        <v>2599.0729946577435</v>
      </c>
      <c r="D161" s="110">
        <v>2599.0729946577435</v>
      </c>
      <c r="E161" s="110">
        <v>2599.0729946577435</v>
      </c>
      <c r="F161" s="116">
        <v>2599.0729946577435</v>
      </c>
      <c r="G161" s="110">
        <v>2599.0729946577435</v>
      </c>
      <c r="H161" s="110"/>
    </row>
    <row r="162" spans="2:11" ht="15" thickBot="1" x14ac:dyDescent="0.4">
      <c r="B162" s="114">
        <f t="shared" ref="B162:B163" si="36">B161+1%</f>
        <v>6.9999999999999993E-2</v>
      </c>
      <c r="C162" s="110">
        <v>2912.9324687640915</v>
      </c>
      <c r="D162" s="110">
        <v>2912.9324687640915</v>
      </c>
      <c r="E162" s="110">
        <v>2912.9324687640915</v>
      </c>
      <c r="F162" s="110">
        <v>2912.9324687640915</v>
      </c>
      <c r="G162" s="110">
        <v>2912.9324687640915</v>
      </c>
      <c r="H162" s="110"/>
    </row>
    <row r="163" spans="2:11" ht="15" thickBot="1" x14ac:dyDescent="0.4">
      <c r="B163" s="114">
        <f t="shared" si="36"/>
        <v>7.9999999999999988E-2</v>
      </c>
      <c r="C163" s="110">
        <v>3953.6284407176008</v>
      </c>
      <c r="D163" s="110">
        <v>3953.6284407176008</v>
      </c>
      <c r="E163" s="110">
        <v>3953.6284407176008</v>
      </c>
      <c r="F163" s="110">
        <v>3953.6284407176008</v>
      </c>
      <c r="G163" s="110">
        <v>3953.6284407176008</v>
      </c>
      <c r="H163" s="110"/>
    </row>
    <row r="166" spans="2:11" ht="32" customHeight="1" x14ac:dyDescent="0.35">
      <c r="B166" s="134" t="s">
        <v>205</v>
      </c>
      <c r="C166" s="134"/>
      <c r="D166" s="134"/>
      <c r="E166" s="134"/>
      <c r="F166" s="134"/>
      <c r="G166" s="134"/>
      <c r="H166" s="134"/>
      <c r="I166" s="134"/>
      <c r="J166" s="134"/>
      <c r="K166" s="134"/>
    </row>
    <row r="168" spans="2:11" ht="18.5" x14ac:dyDescent="0.45">
      <c r="B168" s="121" t="s">
        <v>206</v>
      </c>
    </row>
    <row r="169" spans="2:11" ht="31.5" customHeight="1" x14ac:dyDescent="0.4">
      <c r="B169" s="135" t="s">
        <v>211</v>
      </c>
      <c r="C169" s="135"/>
      <c r="D169" s="135"/>
      <c r="E169" s="135"/>
      <c r="F169" s="135"/>
      <c r="G169" s="135"/>
      <c r="H169" s="135"/>
      <c r="I169" s="135"/>
      <c r="J169" s="135"/>
      <c r="K169" s="135"/>
    </row>
    <row r="170" spans="2:11" ht="16" x14ac:dyDescent="0.4">
      <c r="B170" s="136" t="s">
        <v>212</v>
      </c>
      <c r="C170" s="136"/>
      <c r="D170" s="136"/>
      <c r="E170" s="136"/>
      <c r="F170" s="136"/>
      <c r="G170" s="136"/>
      <c r="H170" s="136"/>
      <c r="I170" s="136"/>
      <c r="J170" s="136"/>
      <c r="K170" s="136"/>
    </row>
    <row r="171" spans="2:11" ht="16" x14ac:dyDescent="0.4">
      <c r="B171" s="136" t="s">
        <v>213</v>
      </c>
      <c r="C171" s="136"/>
      <c r="D171" s="136"/>
      <c r="E171" s="136"/>
      <c r="F171" s="136"/>
      <c r="G171" s="136"/>
      <c r="H171" s="136"/>
      <c r="I171" s="136"/>
    </row>
    <row r="172" spans="2:11" ht="16" x14ac:dyDescent="0.4">
      <c r="B172" s="136" t="s">
        <v>214</v>
      </c>
      <c r="C172" s="136"/>
      <c r="D172" s="136"/>
      <c r="E172" s="136"/>
      <c r="F172" s="136"/>
      <c r="G172" s="136"/>
      <c r="H172" s="136"/>
      <c r="I172" s="136"/>
      <c r="J172" s="136"/>
    </row>
    <row r="173" spans="2:11" ht="16" x14ac:dyDescent="0.4">
      <c r="B173" s="136" t="s">
        <v>215</v>
      </c>
      <c r="C173" s="136"/>
      <c r="D173" s="136"/>
      <c r="E173" s="136"/>
      <c r="F173" s="136"/>
      <c r="G173" s="136"/>
      <c r="H173" s="136"/>
      <c r="I173" s="136"/>
      <c r="J173" s="136"/>
    </row>
    <row r="174" spans="2:11" ht="16" x14ac:dyDescent="0.4">
      <c r="B174" s="120"/>
    </row>
    <row r="175" spans="2:11" ht="18.5" x14ac:dyDescent="0.45">
      <c r="B175" s="121" t="s">
        <v>207</v>
      </c>
    </row>
    <row r="176" spans="2:11" ht="16" x14ac:dyDescent="0.4">
      <c r="B176" s="136" t="s">
        <v>216</v>
      </c>
      <c r="C176" s="136"/>
      <c r="D176" s="136"/>
      <c r="E176" s="136"/>
      <c r="F176" s="136"/>
      <c r="G176" s="136"/>
      <c r="H176" s="136"/>
      <c r="I176" s="136"/>
      <c r="J176" s="136"/>
      <c r="K176" s="136"/>
    </row>
    <row r="177" spans="2:11" ht="16" x14ac:dyDescent="0.4">
      <c r="B177" s="136" t="s">
        <v>217</v>
      </c>
      <c r="C177" s="136"/>
      <c r="D177" s="136"/>
      <c r="E177" s="136"/>
      <c r="F177" s="136"/>
      <c r="G177" s="136"/>
      <c r="H177" s="136"/>
      <c r="I177" s="136"/>
      <c r="J177" s="136"/>
      <c r="K177" s="136"/>
    </row>
    <row r="178" spans="2:11" ht="16" x14ac:dyDescent="0.4">
      <c r="B178" s="136" t="s">
        <v>218</v>
      </c>
      <c r="C178" s="136"/>
      <c r="D178" s="136"/>
      <c r="E178" s="136"/>
      <c r="F178" s="136"/>
      <c r="G178" s="136"/>
      <c r="H178" s="136"/>
      <c r="I178" s="136"/>
      <c r="J178" s="136"/>
      <c r="K178" s="136"/>
    </row>
    <row r="179" spans="2:11" ht="16" x14ac:dyDescent="0.4">
      <c r="B179" s="136" t="s">
        <v>219</v>
      </c>
      <c r="C179" s="136"/>
      <c r="D179" s="136"/>
      <c r="E179" s="136"/>
      <c r="F179" s="136"/>
      <c r="G179" s="136"/>
      <c r="H179" s="136"/>
      <c r="I179" s="136"/>
      <c r="J179" s="136"/>
      <c r="K179" s="136"/>
    </row>
    <row r="180" spans="2:11" ht="16" x14ac:dyDescent="0.4">
      <c r="B180" s="136" t="s">
        <v>220</v>
      </c>
      <c r="C180" s="136"/>
      <c r="D180" s="136"/>
      <c r="E180" s="136"/>
      <c r="F180" s="136"/>
      <c r="G180" s="136"/>
      <c r="H180" s="136"/>
      <c r="I180" s="136"/>
      <c r="J180" s="136"/>
      <c r="K180" s="136"/>
    </row>
    <row r="183" spans="2:11" ht="35.5" customHeight="1" x14ac:dyDescent="0.35">
      <c r="B183" s="134" t="s">
        <v>208</v>
      </c>
      <c r="C183" s="134"/>
      <c r="D183" s="134"/>
      <c r="E183" s="134"/>
      <c r="F183" s="134"/>
      <c r="G183" s="134"/>
      <c r="H183" s="134"/>
      <c r="I183" s="134"/>
      <c r="J183" s="134"/>
      <c r="K183" s="134"/>
    </row>
    <row r="185" spans="2:11" ht="32.5" customHeight="1" x14ac:dyDescent="0.4">
      <c r="B185" s="132" t="s">
        <v>210</v>
      </c>
      <c r="C185" s="132"/>
      <c r="D185" s="132"/>
      <c r="E185" s="132"/>
      <c r="F185" s="132"/>
      <c r="G185" s="132"/>
      <c r="H185" s="132"/>
      <c r="I185" s="132"/>
      <c r="J185" s="132"/>
      <c r="K185" s="132"/>
    </row>
    <row r="187" spans="2:11" ht="18.5" x14ac:dyDescent="0.45">
      <c r="B187" s="121" t="s">
        <v>209</v>
      </c>
    </row>
    <row r="188" spans="2:11" ht="16" x14ac:dyDescent="0.4">
      <c r="B188" s="132" t="s">
        <v>221</v>
      </c>
      <c r="C188" s="132"/>
      <c r="D188" s="132"/>
      <c r="E188" s="132"/>
      <c r="F188" s="132"/>
      <c r="G188" s="132"/>
      <c r="H188" s="132"/>
      <c r="I188" s="132"/>
      <c r="J188" s="132"/>
      <c r="K188" s="132"/>
    </row>
    <row r="189" spans="2:11" ht="16" x14ac:dyDescent="0.4">
      <c r="B189" s="132" t="s">
        <v>222</v>
      </c>
      <c r="C189" s="132"/>
      <c r="D189" s="132"/>
      <c r="E189" s="132"/>
      <c r="F189" s="132"/>
      <c r="G189" s="132"/>
      <c r="H189" s="132"/>
      <c r="I189" s="132"/>
      <c r="J189" s="132"/>
      <c r="K189" s="132"/>
    </row>
    <row r="190" spans="2:11" ht="16" x14ac:dyDescent="0.4">
      <c r="B190" s="132" t="s">
        <v>223</v>
      </c>
      <c r="C190" s="132"/>
      <c r="D190" s="132"/>
      <c r="E190" s="132"/>
      <c r="F190" s="132"/>
      <c r="G190" s="132"/>
      <c r="H190" s="132"/>
      <c r="I190" s="132"/>
      <c r="J190" s="132"/>
      <c r="K190" s="132"/>
    </row>
    <row r="192" spans="2:11" ht="18.5" x14ac:dyDescent="0.45">
      <c r="B192" s="121" t="s">
        <v>224</v>
      </c>
    </row>
    <row r="194" spans="2:11" ht="28" customHeight="1" x14ac:dyDescent="0.4">
      <c r="B194" s="132" t="s">
        <v>227</v>
      </c>
      <c r="C194" s="132"/>
      <c r="D194" s="132"/>
      <c r="E194" s="132"/>
      <c r="F194" s="132"/>
      <c r="G194" s="132"/>
      <c r="H194" s="132"/>
      <c r="I194" s="132"/>
      <c r="J194" s="132"/>
      <c r="K194" s="132"/>
    </row>
    <row r="195" spans="2:11" ht="16" x14ac:dyDescent="0.4">
      <c r="B195" s="137" t="s">
        <v>226</v>
      </c>
      <c r="C195" s="137"/>
      <c r="D195" s="137"/>
      <c r="E195" s="137"/>
      <c r="F195" s="137"/>
      <c r="G195" s="137"/>
      <c r="H195" s="137"/>
      <c r="I195" s="137"/>
      <c r="J195" s="137"/>
      <c r="K195" s="137"/>
    </row>
    <row r="196" spans="2:11" ht="16" x14ac:dyDescent="0.4">
      <c r="B196" s="137" t="s">
        <v>225</v>
      </c>
      <c r="C196" s="137"/>
      <c r="D196" s="137"/>
      <c r="E196" s="137"/>
      <c r="F196" s="137"/>
      <c r="G196" s="137"/>
      <c r="H196" s="137"/>
      <c r="I196" s="137"/>
      <c r="J196" s="137"/>
      <c r="K196" s="120"/>
    </row>
  </sheetData>
  <mergeCells count="35">
    <mergeCell ref="B2:K2"/>
    <mergeCell ref="B196:J196"/>
    <mergeCell ref="B16:K16"/>
    <mergeCell ref="B30:K30"/>
    <mergeCell ref="B73:K73"/>
    <mergeCell ref="B82:K82"/>
    <mergeCell ref="B95:K95"/>
    <mergeCell ref="B115:K115"/>
    <mergeCell ref="B122:K122"/>
    <mergeCell ref="B195:K195"/>
    <mergeCell ref="B177:K177"/>
    <mergeCell ref="B178:K178"/>
    <mergeCell ref="B179:K179"/>
    <mergeCell ref="B180:K180"/>
    <mergeCell ref="D26:F26"/>
    <mergeCell ref="D27:F27"/>
    <mergeCell ref="B188:K188"/>
    <mergeCell ref="B189:K189"/>
    <mergeCell ref="B190:K190"/>
    <mergeCell ref="B194:K194"/>
    <mergeCell ref="B130:K130"/>
    <mergeCell ref="B156:K156"/>
    <mergeCell ref="B166:K166"/>
    <mergeCell ref="B183:K183"/>
    <mergeCell ref="B185:K185"/>
    <mergeCell ref="B169:K169"/>
    <mergeCell ref="B170:K170"/>
    <mergeCell ref="B171:I171"/>
    <mergeCell ref="B172:J172"/>
    <mergeCell ref="B173:J173"/>
    <mergeCell ref="B176:K176"/>
    <mergeCell ref="D23:F23"/>
    <mergeCell ref="D24:F24"/>
    <mergeCell ref="D25:F25"/>
    <mergeCell ref="D17:F17"/>
  </mergeCells>
  <dataValidations count="1">
    <dataValidation type="list" allowBlank="1" showErrorMessage="1" sqref="C77" xr:uid="{EFC828E1-58B7-46BA-9F7D-BE6D54329B16}">
      <formula1>$B$78:$B$80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7086-3AC5-4C97-82A0-B688A6B3D262}">
  <sheetPr>
    <tabColor rgb="FFFFFF00"/>
    <outlinePr showOutlineSymbols="0"/>
  </sheetPr>
  <dimension ref="B3:O77"/>
  <sheetViews>
    <sheetView showGridLines="0" showOutlineSymbols="0" zoomScale="70" workbookViewId="0">
      <selection activeCell="I56" sqref="I56"/>
    </sheetView>
  </sheetViews>
  <sheetFormatPr defaultRowHeight="14.5" outlineLevelRow="1" x14ac:dyDescent="0.35"/>
  <cols>
    <col min="1" max="1" width="2.54296875" customWidth="1"/>
    <col min="2" max="2" width="29.36328125" customWidth="1"/>
    <col min="4" max="4" width="10.90625" customWidth="1"/>
    <col min="5" max="5" width="12.26953125" customWidth="1"/>
    <col min="6" max="6" width="11.08984375" customWidth="1"/>
    <col min="7" max="7" width="12.36328125" customWidth="1"/>
    <col min="8" max="8" width="11.6328125" customWidth="1"/>
    <col min="9" max="9" width="12" customWidth="1"/>
    <col min="10" max="10" width="11.26953125" customWidth="1"/>
    <col min="11" max="11" width="10.90625" customWidth="1"/>
    <col min="12" max="12" width="11" customWidth="1"/>
    <col min="13" max="13" width="11.453125" customWidth="1"/>
  </cols>
  <sheetData>
    <row r="3" spans="2:15" ht="29" x14ac:dyDescent="0.35">
      <c r="B3" s="8" t="s">
        <v>250</v>
      </c>
      <c r="D3" s="69"/>
      <c r="E3" s="69"/>
      <c r="F3" s="69"/>
      <c r="G3" s="69"/>
      <c r="H3" s="70"/>
      <c r="I3" s="70"/>
      <c r="J3" s="70"/>
      <c r="K3" s="70"/>
      <c r="L3" s="70"/>
      <c r="M3" s="70"/>
      <c r="N3" s="9"/>
      <c r="O3" s="9"/>
    </row>
    <row r="4" spans="2:15" x14ac:dyDescent="0.35"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</row>
    <row r="5" spans="2:15" x14ac:dyDescent="0.35"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</row>
    <row r="6" spans="2:15" x14ac:dyDescent="0.35">
      <c r="B6" s="9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9"/>
      <c r="O6" s="9"/>
    </row>
    <row r="7" spans="2:15" ht="23" x14ac:dyDescent="0.35">
      <c r="B7" s="133" t="s">
        <v>139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</row>
    <row r="8" spans="2:15" ht="15" thickBot="1" x14ac:dyDescent="0.4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2:15" ht="56.5" thickBot="1" x14ac:dyDescent="0.4">
      <c r="B9" s="51" t="s">
        <v>140</v>
      </c>
      <c r="C9" s="71" t="s">
        <v>141</v>
      </c>
      <c r="D9" s="71" t="s">
        <v>142</v>
      </c>
      <c r="E9" s="71" t="s">
        <v>108</v>
      </c>
      <c r="F9" s="71" t="s">
        <v>12</v>
      </c>
      <c r="G9" s="71" t="s">
        <v>77</v>
      </c>
      <c r="H9" s="71" t="s">
        <v>143</v>
      </c>
      <c r="I9" s="71" t="s">
        <v>144</v>
      </c>
      <c r="J9" s="71" t="s">
        <v>109</v>
      </c>
      <c r="K9" s="72" t="s">
        <v>145</v>
      </c>
      <c r="L9" s="72" t="s">
        <v>136</v>
      </c>
      <c r="M9" s="9"/>
      <c r="N9" s="9"/>
      <c r="O9" s="9"/>
    </row>
    <row r="10" spans="2:15" ht="15" thickBot="1" x14ac:dyDescent="0.4">
      <c r="B10" s="54" t="str">
        <f>'comps data'!C4</f>
        <v>Hind. Unilever</v>
      </c>
      <c r="C10" s="73"/>
      <c r="D10" s="73">
        <f>'comps data'!D4</f>
        <v>2260.6</v>
      </c>
      <c r="E10" s="73">
        <f>'comps data'!F4</f>
        <v>531148.6</v>
      </c>
      <c r="F10" s="73">
        <f>'comps data'!E4</f>
        <v>64243</v>
      </c>
      <c r="G10" s="73">
        <f>'comps data'!H4</f>
        <v>15860</v>
      </c>
      <c r="H10" s="73">
        <f>'comps data'!I4</f>
        <v>10671</v>
      </c>
      <c r="I10" s="74">
        <v>0.48</v>
      </c>
      <c r="J10" s="73">
        <f>'comps data'!J4</f>
        <v>1775</v>
      </c>
      <c r="K10" s="73">
        <f>'comps data'!K4</f>
        <v>7554</v>
      </c>
      <c r="L10" s="73">
        <f>'comps data'!G4</f>
        <v>50.21</v>
      </c>
      <c r="M10" s="9"/>
      <c r="N10" s="9"/>
      <c r="O10" s="9"/>
    </row>
    <row r="11" spans="2:15" ht="15" thickBot="1" x14ac:dyDescent="0.4">
      <c r="B11" s="54" t="str">
        <f>'comps data'!C5</f>
        <v>Nestle India</v>
      </c>
      <c r="C11" s="73"/>
      <c r="D11" s="73">
        <f>'comps data'!D5</f>
        <v>1238.3</v>
      </c>
      <c r="E11" s="73">
        <f>'comps data'!F5</f>
        <v>238783.16</v>
      </c>
      <c r="F11" s="73">
        <f>'comps data'!E5</f>
        <v>21023.38</v>
      </c>
      <c r="G11" s="73">
        <f>'comps data'!H5</f>
        <v>4830.1899999999996</v>
      </c>
      <c r="H11" s="73">
        <f>'comps data'!I5</f>
        <v>3314.5</v>
      </c>
      <c r="I11" s="74">
        <v>0.92</v>
      </c>
      <c r="J11" s="73">
        <f>'comps data'!J5</f>
        <v>476.85</v>
      </c>
      <c r="K11" s="73">
        <f>'comps data'!K5</f>
        <v>95.65</v>
      </c>
      <c r="L11" s="73">
        <f>'comps data'!G5</f>
        <v>79.75</v>
      </c>
      <c r="M11" s="9"/>
      <c r="N11" s="9"/>
      <c r="O11" s="9"/>
    </row>
    <row r="12" spans="2:15" ht="15" thickBot="1" x14ac:dyDescent="0.4">
      <c r="B12" s="54" t="str">
        <f>'comps data'!C6</f>
        <v>Varun Beverages</v>
      </c>
      <c r="C12" s="73"/>
      <c r="D12" s="73">
        <f>'comps data'!D6</f>
        <v>479.95</v>
      </c>
      <c r="E12" s="73">
        <f>'comps data'!F6</f>
        <v>162318.54999999999</v>
      </c>
      <c r="F12" s="73">
        <f>'comps data'!E6</f>
        <v>21169.75</v>
      </c>
      <c r="G12" s="73">
        <f>'comps data'!H6</f>
        <v>4933.96</v>
      </c>
      <c r="H12" s="73">
        <f>'comps data'!I6</f>
        <v>2634.28</v>
      </c>
      <c r="I12" s="74">
        <v>0.73</v>
      </c>
      <c r="J12" s="73">
        <f>'comps data'!J6</f>
        <v>2138.25</v>
      </c>
      <c r="K12" s="73">
        <f>'comps data'!K6</f>
        <v>2450.0500000000002</v>
      </c>
      <c r="L12" s="73">
        <f>'comps data'!G6</f>
        <v>54.66</v>
      </c>
      <c r="M12" s="9"/>
      <c r="N12" s="9"/>
      <c r="O12" s="9"/>
    </row>
    <row r="13" spans="2:15" ht="15" thickBot="1" x14ac:dyDescent="0.4">
      <c r="B13" s="54" t="str">
        <f>'comps data'!C7</f>
        <v>Britannia Inds.</v>
      </c>
      <c r="C13" s="73"/>
      <c r="D13" s="73">
        <f>'comps data'!D7</f>
        <v>5915.5</v>
      </c>
      <c r="E13" s="73">
        <f>'comps data'!F7</f>
        <v>142485.64000000001</v>
      </c>
      <c r="F13" s="73">
        <f>'comps data'!E7</f>
        <v>18487.650000000001</v>
      </c>
      <c r="G13" s="73">
        <f>'comps data'!H7</f>
        <v>3402.26</v>
      </c>
      <c r="H13" s="73">
        <f>'comps data'!I7</f>
        <v>2177.86</v>
      </c>
      <c r="I13" s="74">
        <v>0.76</v>
      </c>
      <c r="J13" s="73">
        <f>'comps data'!J7</f>
        <v>2196.3000000000002</v>
      </c>
      <c r="K13" s="73">
        <f>'comps data'!K7</f>
        <v>312.48</v>
      </c>
      <c r="L13" s="73">
        <f>'comps data'!G7</f>
        <v>61.5</v>
      </c>
      <c r="M13" s="9"/>
      <c r="N13" s="9"/>
      <c r="O13" s="9"/>
    </row>
    <row r="14" spans="2:15" ht="15" thickBot="1" x14ac:dyDescent="0.4">
      <c r="B14" s="54" t="str">
        <f>'comps data'!C8</f>
        <v>ITC</v>
      </c>
      <c r="C14" s="73"/>
      <c r="D14" s="73">
        <f>'comps data'!D8</f>
        <v>400.1</v>
      </c>
      <c r="E14" s="73">
        <f>'comps data'!F8</f>
        <v>501275.87</v>
      </c>
      <c r="F14" s="73">
        <f>'comps data'!E8</f>
        <v>78551.59</v>
      </c>
      <c r="G14" s="73">
        <f>'comps data'!H8</f>
        <v>28479.56</v>
      </c>
      <c r="H14" s="73">
        <f>'comps data'!I8</f>
        <v>35052.480000000003</v>
      </c>
      <c r="I14" s="74">
        <v>0.59</v>
      </c>
      <c r="J14" s="73">
        <f>'comps data'!J8</f>
        <v>362.97</v>
      </c>
      <c r="K14" s="73">
        <f>'comps data'!K8</f>
        <v>4012.36</v>
      </c>
      <c r="L14" s="73">
        <f>'comps data'!G8</f>
        <v>24.85</v>
      </c>
      <c r="M14" s="9"/>
      <c r="N14" s="9"/>
      <c r="O14" s="9"/>
    </row>
    <row r="15" spans="2:15" x14ac:dyDescent="0.35">
      <c r="B15" s="9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9"/>
      <c r="O15" s="9"/>
    </row>
    <row r="16" spans="2:15" ht="23" x14ac:dyDescent="0.35">
      <c r="B16" s="133" t="s">
        <v>147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</row>
    <row r="17" spans="2:15" ht="16" hidden="1" outlineLevel="1" thickBot="1" x14ac:dyDescent="0.4"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2:15" hidden="1" outlineLevel="1" x14ac:dyDescent="0.35">
      <c r="B18" s="75"/>
      <c r="C18" s="76" t="s">
        <v>148</v>
      </c>
      <c r="D18" s="76" t="s">
        <v>149</v>
      </c>
      <c r="E18" s="76" t="s">
        <v>150</v>
      </c>
      <c r="F18" s="76" t="s">
        <v>150</v>
      </c>
      <c r="G18" s="76" t="s">
        <v>24</v>
      </c>
      <c r="H18" s="76" t="s">
        <v>151</v>
      </c>
      <c r="I18" s="77" t="s">
        <v>152</v>
      </c>
      <c r="J18" s="70"/>
      <c r="K18" s="9"/>
      <c r="L18" s="9"/>
      <c r="M18" s="9"/>
      <c r="N18" s="9"/>
      <c r="O18" s="9"/>
    </row>
    <row r="19" spans="2:15" ht="15" hidden="1" outlineLevel="1" thickBot="1" x14ac:dyDescent="0.4">
      <c r="B19" s="13" t="s">
        <v>153</v>
      </c>
      <c r="C19" s="78" t="s">
        <v>57</v>
      </c>
      <c r="D19" s="78" t="s">
        <v>154</v>
      </c>
      <c r="E19" s="78" t="s">
        <v>148</v>
      </c>
      <c r="F19" s="78" t="s">
        <v>155</v>
      </c>
      <c r="G19" s="78" t="s">
        <v>156</v>
      </c>
      <c r="H19" s="78" t="s">
        <v>144</v>
      </c>
      <c r="I19" s="79" t="s">
        <v>144</v>
      </c>
      <c r="J19" s="9"/>
      <c r="K19" s="9"/>
      <c r="L19" s="9"/>
      <c r="M19" s="9"/>
      <c r="N19" s="9"/>
      <c r="O19" s="9"/>
    </row>
    <row r="20" spans="2:15" ht="15" hidden="1" outlineLevel="1" thickBot="1" x14ac:dyDescent="0.4">
      <c r="B20" s="54" t="str">
        <f t="shared" ref="B20:B23" si="0">B10</f>
        <v>Hind. Unilever</v>
      </c>
      <c r="C20" s="73">
        <f t="shared" ref="C20:C23" si="1">E10</f>
        <v>531148.6</v>
      </c>
      <c r="D20" s="73">
        <f t="shared" ref="D20:D23" si="2">J10</f>
        <v>1775</v>
      </c>
      <c r="E20" s="80">
        <f t="shared" ref="E20:E23" si="3">D20/C20</f>
        <v>3.3418143246541554E-3</v>
      </c>
      <c r="F20" s="80">
        <f t="shared" ref="F20:F23" si="4">D20/(C20+D20)</f>
        <v>3.3306837978276812E-3</v>
      </c>
      <c r="G20" s="80">
        <f>Tax_Rate</f>
        <v>0.25</v>
      </c>
      <c r="H20" s="74">
        <f t="shared" ref="H20:H23" si="5">I10</f>
        <v>0.48</v>
      </c>
      <c r="I20" s="74">
        <f>H20/(1+E20*(1-Tax_Rate))</f>
        <v>0.47879995458983099</v>
      </c>
      <c r="J20" s="9"/>
      <c r="K20" s="9"/>
      <c r="L20" s="9"/>
      <c r="M20" s="9"/>
      <c r="N20" s="9"/>
      <c r="O20" s="9"/>
    </row>
    <row r="21" spans="2:15" ht="15" hidden="1" outlineLevel="1" thickBot="1" x14ac:dyDescent="0.4">
      <c r="B21" s="54" t="str">
        <f t="shared" si="0"/>
        <v>Nestle India</v>
      </c>
      <c r="C21" s="73">
        <f t="shared" si="1"/>
        <v>238783.16</v>
      </c>
      <c r="D21" s="73">
        <f t="shared" si="2"/>
        <v>476.85</v>
      </c>
      <c r="E21" s="80">
        <f t="shared" si="3"/>
        <v>1.9970001234592928E-3</v>
      </c>
      <c r="F21" s="80">
        <f t="shared" si="4"/>
        <v>1.9930200621491238E-3</v>
      </c>
      <c r="G21" s="80">
        <f>Tax_Rate</f>
        <v>0.25</v>
      </c>
      <c r="H21" s="74">
        <f t="shared" si="5"/>
        <v>0.92</v>
      </c>
      <c r="I21" s="74">
        <f>H21/(1+E21*(1-Tax_Rate))</f>
        <v>0.9186241306232994</v>
      </c>
      <c r="J21" s="9"/>
      <c r="K21" s="9"/>
      <c r="L21" s="9"/>
      <c r="M21" s="9"/>
      <c r="N21" s="9"/>
      <c r="O21" s="9"/>
    </row>
    <row r="22" spans="2:15" ht="15" hidden="1" outlineLevel="1" thickBot="1" x14ac:dyDescent="0.4">
      <c r="B22" s="54" t="str">
        <f t="shared" si="0"/>
        <v>Varun Beverages</v>
      </c>
      <c r="C22" s="73">
        <f t="shared" si="1"/>
        <v>162318.54999999999</v>
      </c>
      <c r="D22" s="73">
        <f t="shared" si="2"/>
        <v>2138.25</v>
      </c>
      <c r="E22" s="80">
        <f t="shared" si="3"/>
        <v>1.3173170903756842E-2</v>
      </c>
      <c r="F22" s="80">
        <f t="shared" si="4"/>
        <v>1.3001894722504634E-2</v>
      </c>
      <c r="G22" s="80">
        <f>Tax_Rate</f>
        <v>0.25</v>
      </c>
      <c r="H22" s="74">
        <f t="shared" si="5"/>
        <v>0.73</v>
      </c>
      <c r="I22" s="74">
        <f>H22/(1+E22*(1-Tax_Rate))</f>
        <v>0.72285824856435366</v>
      </c>
      <c r="J22" s="9"/>
      <c r="K22" s="9"/>
      <c r="L22" s="9"/>
      <c r="M22" s="9"/>
      <c r="N22" s="9"/>
      <c r="O22" s="9"/>
    </row>
    <row r="23" spans="2:15" ht="15" hidden="1" outlineLevel="1" thickBot="1" x14ac:dyDescent="0.4">
      <c r="B23" s="54" t="str">
        <f t="shared" si="0"/>
        <v>Britannia Inds.</v>
      </c>
      <c r="C23" s="73">
        <f t="shared" si="1"/>
        <v>142485.64000000001</v>
      </c>
      <c r="D23" s="73">
        <f t="shared" si="2"/>
        <v>2196.3000000000002</v>
      </c>
      <c r="E23" s="80">
        <f t="shared" si="3"/>
        <v>1.5414184896106022E-2</v>
      </c>
      <c r="F23" s="80">
        <f t="shared" si="4"/>
        <v>1.5180194570241456E-2</v>
      </c>
      <c r="G23" s="80">
        <f>Tax_Rate</f>
        <v>0.25</v>
      </c>
      <c r="H23" s="74">
        <f t="shared" si="5"/>
        <v>0.76</v>
      </c>
      <c r="I23" s="74">
        <f>H23/(1+E23*(1-Tax_Rate))</f>
        <v>0.75131432654169472</v>
      </c>
      <c r="J23" s="9"/>
      <c r="K23" s="9"/>
      <c r="L23" s="9"/>
      <c r="M23" s="9"/>
      <c r="N23" s="9"/>
      <c r="O23" s="9"/>
    </row>
    <row r="24" spans="2:15" ht="15" hidden="1" outlineLevel="1" thickBot="1" x14ac:dyDescent="0.4">
      <c r="B24" s="78" t="s">
        <v>189</v>
      </c>
      <c r="C24" s="81">
        <f t="shared" ref="C24:I24" si="6">AVERAGE(C20:C23)</f>
        <v>268683.98750000005</v>
      </c>
      <c r="D24" s="81">
        <f t="shared" si="6"/>
        <v>1646.6000000000001</v>
      </c>
      <c r="E24" s="82">
        <f t="shared" si="6"/>
        <v>8.4815425619940779E-3</v>
      </c>
      <c r="F24" s="82">
        <f t="shared" si="6"/>
        <v>8.376448288180724E-3</v>
      </c>
      <c r="G24" s="82">
        <f t="shared" si="6"/>
        <v>0.25</v>
      </c>
      <c r="H24" s="83">
        <f t="shared" si="6"/>
        <v>0.72249999999999992</v>
      </c>
      <c r="I24" s="83">
        <f t="shared" si="6"/>
        <v>0.71789916507979468</v>
      </c>
      <c r="J24" s="9"/>
      <c r="K24" s="9"/>
      <c r="L24" s="9"/>
      <c r="M24" s="9"/>
      <c r="N24" s="9"/>
      <c r="O24" s="9"/>
    </row>
    <row r="25" spans="2:15" ht="15" hidden="1" outlineLevel="1" thickBot="1" x14ac:dyDescent="0.4">
      <c r="B25" s="78" t="s">
        <v>158</v>
      </c>
      <c r="C25" s="81">
        <f t="shared" ref="C25:I25" si="7">MEDIAN(C20:C23)</f>
        <v>200550.85499999998</v>
      </c>
      <c r="D25" s="81">
        <f t="shared" si="7"/>
        <v>1956.625</v>
      </c>
      <c r="E25" s="82">
        <f t="shared" si="7"/>
        <v>8.2574926142054972E-3</v>
      </c>
      <c r="F25" s="82">
        <f t="shared" si="7"/>
        <v>8.1662892601661579E-3</v>
      </c>
      <c r="G25" s="82">
        <f t="shared" si="7"/>
        <v>0.25</v>
      </c>
      <c r="H25" s="83">
        <f t="shared" si="7"/>
        <v>0.745</v>
      </c>
      <c r="I25" s="83">
        <f t="shared" si="7"/>
        <v>0.73708628755302419</v>
      </c>
      <c r="J25" s="9"/>
      <c r="K25" s="9"/>
      <c r="L25" s="9"/>
      <c r="M25" s="9"/>
      <c r="N25" s="9"/>
      <c r="O25" s="9"/>
    </row>
    <row r="26" spans="2:15" ht="15.5" hidden="1" outlineLevel="1" x14ac:dyDescent="0.35">
      <c r="B26" s="25"/>
      <c r="C26" s="25"/>
      <c r="D26" s="25"/>
      <c r="E26" s="25"/>
      <c r="F26" s="25"/>
      <c r="G26" s="84"/>
      <c r="H26" s="25"/>
      <c r="I26" s="25"/>
      <c r="J26" s="25"/>
      <c r="K26" s="25"/>
      <c r="L26" s="25"/>
      <c r="M26" s="9"/>
      <c r="N26" s="9"/>
      <c r="O26" s="9"/>
    </row>
    <row r="27" spans="2:15" ht="23" collapsed="1" x14ac:dyDescent="0.35">
      <c r="B27" s="133" t="s">
        <v>159</v>
      </c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</row>
    <row r="28" spans="2:15" ht="15.5" x14ac:dyDescent="0.35">
      <c r="B28" s="25"/>
      <c r="C28" s="25"/>
      <c r="D28" s="25"/>
      <c r="E28" s="25"/>
      <c r="F28" s="25"/>
      <c r="G28" s="84"/>
      <c r="H28" s="25"/>
      <c r="I28" s="25"/>
      <c r="J28" s="25"/>
      <c r="K28" s="25"/>
      <c r="L28" s="25"/>
      <c r="M28" s="9"/>
      <c r="N28" s="9"/>
      <c r="O28" s="9"/>
    </row>
    <row r="29" spans="2:15" x14ac:dyDescent="0.35">
      <c r="B29" s="85"/>
      <c r="C29" s="86"/>
      <c r="D29" s="143" t="s">
        <v>160</v>
      </c>
      <c r="E29" s="144"/>
      <c r="F29" s="144"/>
      <c r="G29" s="144"/>
      <c r="H29" s="144"/>
      <c r="I29" s="144"/>
      <c r="J29" s="143" t="s">
        <v>161</v>
      </c>
      <c r="K29" s="144"/>
      <c r="L29" s="144"/>
      <c r="M29" s="143" t="s">
        <v>162</v>
      </c>
      <c r="N29" s="144"/>
      <c r="O29" s="144"/>
    </row>
    <row r="30" spans="2:15" x14ac:dyDescent="0.35">
      <c r="B30" s="85"/>
      <c r="C30" s="87"/>
      <c r="D30" s="87" t="s">
        <v>142</v>
      </c>
      <c r="E30" s="87" t="s">
        <v>163</v>
      </c>
      <c r="F30" s="87" t="s">
        <v>108</v>
      </c>
      <c r="G30" s="87" t="s">
        <v>154</v>
      </c>
      <c r="H30" s="87" t="s">
        <v>164</v>
      </c>
      <c r="I30" s="87" t="s">
        <v>165</v>
      </c>
      <c r="J30" s="87" t="s">
        <v>12</v>
      </c>
      <c r="K30" s="87" t="s">
        <v>77</v>
      </c>
      <c r="L30" s="87" t="s">
        <v>166</v>
      </c>
      <c r="M30" s="87" t="s">
        <v>167</v>
      </c>
      <c r="N30" s="87" t="s">
        <v>146</v>
      </c>
      <c r="O30" s="87" t="s">
        <v>136</v>
      </c>
    </row>
    <row r="31" spans="2:15" ht="16" thickBot="1" x14ac:dyDescent="0.4">
      <c r="B31" s="13" t="s">
        <v>153</v>
      </c>
      <c r="C31" s="78" t="s">
        <v>141</v>
      </c>
      <c r="D31" s="78" t="s">
        <v>168</v>
      </c>
      <c r="E31" s="78" t="s">
        <v>169</v>
      </c>
      <c r="F31" s="78" t="s">
        <v>169</v>
      </c>
      <c r="G31" s="78"/>
      <c r="H31" s="78" t="s">
        <v>170</v>
      </c>
      <c r="I31" s="78" t="s">
        <v>169</v>
      </c>
      <c r="J31" s="78" t="s">
        <v>169</v>
      </c>
      <c r="K31" s="78" t="s">
        <v>169</v>
      </c>
      <c r="L31" s="78" t="s">
        <v>169</v>
      </c>
      <c r="M31" s="78" t="s">
        <v>171</v>
      </c>
      <c r="N31" s="78" t="s">
        <v>171</v>
      </c>
      <c r="O31" s="78" t="s">
        <v>171</v>
      </c>
    </row>
    <row r="32" spans="2:15" ht="15" thickBot="1" x14ac:dyDescent="0.4">
      <c r="B32" s="54" t="str">
        <f t="shared" ref="B32:B35" si="8">B20</f>
        <v>Hind. Unilever</v>
      </c>
      <c r="C32" s="54"/>
      <c r="D32" s="73">
        <f t="shared" ref="D32:D35" si="9">D10</f>
        <v>2260.6</v>
      </c>
      <c r="E32" s="73">
        <f t="shared" ref="E32:E35" si="10">F32/D32</f>
        <v>234.95912589577989</v>
      </c>
      <c r="F32" s="73">
        <f t="shared" ref="F32:F35" si="11">E10</f>
        <v>531148.6</v>
      </c>
      <c r="G32" s="73">
        <f t="shared" ref="G32:G35" si="12">J10</f>
        <v>1775</v>
      </c>
      <c r="H32" s="73">
        <f t="shared" ref="H32:H35" si="13">+K10</f>
        <v>7554</v>
      </c>
      <c r="I32" s="73">
        <f t="shared" ref="I32:I35" si="14">F32+G32-H32</f>
        <v>525369.59999999998</v>
      </c>
      <c r="J32" s="73">
        <f t="shared" ref="J32:J35" si="15">F10</f>
        <v>64243</v>
      </c>
      <c r="K32" s="73">
        <f t="shared" ref="K32:K35" si="16">G10</f>
        <v>15860</v>
      </c>
      <c r="L32" s="73">
        <f t="shared" ref="L32:L35" si="17">H10</f>
        <v>10671</v>
      </c>
      <c r="M32" s="88">
        <f t="shared" ref="M32:M35" si="18">I32/J32</f>
        <v>8.1778497268184864</v>
      </c>
      <c r="N32" s="88">
        <f t="shared" ref="N32:N35" si="19">I32/K32</f>
        <v>33.125447667087009</v>
      </c>
      <c r="O32" s="88">
        <f t="shared" ref="O32:O35" si="20">F32/L32</f>
        <v>49.77496017242995</v>
      </c>
    </row>
    <row r="33" spans="2:15" ht="15" thickBot="1" x14ac:dyDescent="0.4">
      <c r="B33" s="54" t="str">
        <f t="shared" si="8"/>
        <v>Nestle India</v>
      </c>
      <c r="C33" s="54"/>
      <c r="D33" s="73">
        <f t="shared" si="9"/>
        <v>1238.3</v>
      </c>
      <c r="E33" s="73">
        <f t="shared" si="10"/>
        <v>192.83143018654607</v>
      </c>
      <c r="F33" s="73">
        <f t="shared" si="11"/>
        <v>238783.16</v>
      </c>
      <c r="G33" s="73">
        <f t="shared" si="12"/>
        <v>476.85</v>
      </c>
      <c r="H33" s="73">
        <f t="shared" si="13"/>
        <v>95.65</v>
      </c>
      <c r="I33" s="73">
        <f t="shared" si="14"/>
        <v>239164.36000000002</v>
      </c>
      <c r="J33" s="73">
        <f t="shared" si="15"/>
        <v>21023.38</v>
      </c>
      <c r="K33" s="73">
        <f t="shared" si="16"/>
        <v>4830.1899999999996</v>
      </c>
      <c r="L33" s="73">
        <f t="shared" si="17"/>
        <v>3314.5</v>
      </c>
      <c r="M33" s="88">
        <f t="shared" si="18"/>
        <v>11.376113641098625</v>
      </c>
      <c r="N33" s="88">
        <f t="shared" si="19"/>
        <v>49.514482867133601</v>
      </c>
      <c r="O33" s="88">
        <f t="shared" si="20"/>
        <v>72.04198521647308</v>
      </c>
    </row>
    <row r="34" spans="2:15" ht="15" thickBot="1" x14ac:dyDescent="0.4">
      <c r="B34" s="54" t="str">
        <f t="shared" si="8"/>
        <v>Varun Beverages</v>
      </c>
      <c r="C34" s="54"/>
      <c r="D34" s="73">
        <f t="shared" si="9"/>
        <v>479.95</v>
      </c>
      <c r="E34" s="73">
        <f t="shared" si="10"/>
        <v>338.19887488280028</v>
      </c>
      <c r="F34" s="73">
        <f t="shared" si="11"/>
        <v>162318.54999999999</v>
      </c>
      <c r="G34" s="73">
        <f t="shared" si="12"/>
        <v>2138.25</v>
      </c>
      <c r="H34" s="73">
        <f t="shared" si="13"/>
        <v>2450.0500000000002</v>
      </c>
      <c r="I34" s="73">
        <f t="shared" si="14"/>
        <v>162006.75</v>
      </c>
      <c r="J34" s="73">
        <f t="shared" si="15"/>
        <v>21169.75</v>
      </c>
      <c r="K34" s="73">
        <f t="shared" si="16"/>
        <v>4933.96</v>
      </c>
      <c r="L34" s="73">
        <f t="shared" si="17"/>
        <v>2634.28</v>
      </c>
      <c r="M34" s="88">
        <f t="shared" si="18"/>
        <v>7.6527474344288429</v>
      </c>
      <c r="N34" s="88">
        <f t="shared" si="19"/>
        <v>32.835035144184388</v>
      </c>
      <c r="O34" s="88">
        <f t="shared" si="20"/>
        <v>61.6178044854761</v>
      </c>
    </row>
    <row r="35" spans="2:15" ht="15" thickBot="1" x14ac:dyDescent="0.4">
      <c r="B35" s="54" t="str">
        <f t="shared" si="8"/>
        <v>Britannia Inds.</v>
      </c>
      <c r="C35" s="54"/>
      <c r="D35" s="73">
        <f t="shared" si="9"/>
        <v>5915.5</v>
      </c>
      <c r="E35" s="73">
        <f t="shared" si="10"/>
        <v>24.086829515679149</v>
      </c>
      <c r="F35" s="73">
        <f t="shared" si="11"/>
        <v>142485.64000000001</v>
      </c>
      <c r="G35" s="73">
        <f t="shared" si="12"/>
        <v>2196.3000000000002</v>
      </c>
      <c r="H35" s="73">
        <f t="shared" si="13"/>
        <v>312.48</v>
      </c>
      <c r="I35" s="73">
        <f t="shared" si="14"/>
        <v>144369.46</v>
      </c>
      <c r="J35" s="73">
        <f t="shared" si="15"/>
        <v>18487.650000000001</v>
      </c>
      <c r="K35" s="73">
        <f t="shared" si="16"/>
        <v>3402.26</v>
      </c>
      <c r="L35" s="73">
        <f t="shared" si="17"/>
        <v>2177.86</v>
      </c>
      <c r="M35" s="88">
        <f t="shared" si="18"/>
        <v>7.8089676081059505</v>
      </c>
      <c r="N35" s="88">
        <f t="shared" si="19"/>
        <v>42.433400151663889</v>
      </c>
      <c r="O35" s="88">
        <f t="shared" si="20"/>
        <v>65.424609479029883</v>
      </c>
    </row>
    <row r="36" spans="2:15" ht="15.5" x14ac:dyDescent="0.35">
      <c r="B36" s="89"/>
      <c r="C36" s="90"/>
      <c r="D36" s="90"/>
      <c r="E36" s="90"/>
      <c r="F36" s="91"/>
      <c r="G36" s="92"/>
      <c r="H36" s="93"/>
      <c r="I36" s="91"/>
      <c r="J36" s="91"/>
      <c r="K36" s="93"/>
      <c r="L36" s="94"/>
      <c r="M36" s="91"/>
      <c r="N36" s="91"/>
      <c r="O36" s="91"/>
    </row>
    <row r="37" spans="2:15" x14ac:dyDescent="0.35">
      <c r="B37" s="86" t="s">
        <v>157</v>
      </c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95">
        <f t="shared" ref="M37:O37" si="21">AVERAGE(M32:M35)</f>
        <v>8.7539196026129762</v>
      </c>
      <c r="N37" s="95">
        <f t="shared" si="21"/>
        <v>39.477091457517218</v>
      </c>
      <c r="O37" s="95">
        <f t="shared" si="21"/>
        <v>62.214839838352248</v>
      </c>
    </row>
    <row r="38" spans="2:15" x14ac:dyDescent="0.35">
      <c r="B38" s="86" t="s">
        <v>158</v>
      </c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95">
        <f t="shared" ref="M38:O38" si="22">MEDIAN(M32:M35)</f>
        <v>7.9934086674622185</v>
      </c>
      <c r="N38" s="95">
        <f t="shared" si="22"/>
        <v>37.779423909375453</v>
      </c>
      <c r="O38" s="95">
        <f t="shared" si="22"/>
        <v>63.521206982252991</v>
      </c>
    </row>
    <row r="39" spans="2:15" ht="16" thickBot="1" x14ac:dyDescent="0.4"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</row>
    <row r="40" spans="2:15" ht="15" thickBot="1" x14ac:dyDescent="0.4">
      <c r="B40" s="54" t="str">
        <f>B14</f>
        <v>ITC</v>
      </c>
      <c r="C40" s="54"/>
      <c r="D40" s="73">
        <f>D14</f>
        <v>400.1</v>
      </c>
      <c r="E40" s="73">
        <f>F40/D40</f>
        <v>1252.8764558860285</v>
      </c>
      <c r="F40" s="73">
        <f>E14</f>
        <v>501275.87</v>
      </c>
      <c r="G40" s="73">
        <f>J14</f>
        <v>362.97</v>
      </c>
      <c r="H40" s="73">
        <f>K14</f>
        <v>4012.36</v>
      </c>
      <c r="I40" s="73">
        <f>F40+G40-H40</f>
        <v>497626.48</v>
      </c>
      <c r="J40" s="73">
        <f>F14</f>
        <v>78551.59</v>
      </c>
      <c r="K40" s="73">
        <f>G14</f>
        <v>28479.56</v>
      </c>
      <c r="L40" s="73">
        <f>H14</f>
        <v>35052.480000000003</v>
      </c>
      <c r="M40" s="88">
        <f>I40/J40</f>
        <v>6.3350274641162576</v>
      </c>
      <c r="N40" s="88">
        <f>I40/K40</f>
        <v>17.47310983737108</v>
      </c>
      <c r="O40" s="88">
        <f>F40/L40</f>
        <v>14.300724798930061</v>
      </c>
    </row>
    <row r="41" spans="2:15" ht="15.5" x14ac:dyDescent="0.35"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</row>
    <row r="42" spans="2:15" ht="16" thickBot="1" x14ac:dyDescent="0.4">
      <c r="B42" s="86" t="s">
        <v>172</v>
      </c>
      <c r="C42" s="87" t="s">
        <v>173</v>
      </c>
      <c r="D42" s="87" t="s">
        <v>165</v>
      </c>
      <c r="E42" s="87" t="s">
        <v>174</v>
      </c>
      <c r="F42" s="87" t="s">
        <v>175</v>
      </c>
      <c r="G42" s="87" t="s">
        <v>163</v>
      </c>
      <c r="H42" s="87" t="s">
        <v>176</v>
      </c>
      <c r="I42" s="90"/>
      <c r="J42" s="90"/>
      <c r="K42" s="90"/>
      <c r="L42" s="90"/>
      <c r="M42" s="90"/>
      <c r="N42" s="90"/>
      <c r="O42" s="90"/>
    </row>
    <row r="43" spans="2:15" ht="16" thickBot="1" x14ac:dyDescent="0.4">
      <c r="B43" s="54" t="s">
        <v>167</v>
      </c>
      <c r="C43" s="88">
        <f>M38</f>
        <v>7.9934086674622185</v>
      </c>
      <c r="D43" s="73">
        <f>C43*J40</f>
        <v>627894.96034893848</v>
      </c>
      <c r="E43" s="73">
        <f t="shared" ref="E43:E45" si="23">$G$40</f>
        <v>362.97</v>
      </c>
      <c r="F43" s="73">
        <f t="shared" ref="F43:F44" si="24">D43-E43</f>
        <v>627531.9903489385</v>
      </c>
      <c r="G43" s="73">
        <f t="shared" ref="G43:G45" si="25">$E$40</f>
        <v>1252.8764558860285</v>
      </c>
      <c r="H43" s="73">
        <f t="shared" ref="H43:H45" si="26">F43/G43</f>
        <v>500.87300100563448</v>
      </c>
      <c r="I43" s="90"/>
      <c r="J43" s="90"/>
      <c r="K43" s="90"/>
      <c r="L43" s="90"/>
      <c r="M43" s="90"/>
      <c r="N43" s="90"/>
      <c r="O43" s="90"/>
    </row>
    <row r="44" spans="2:15" ht="16" thickBot="1" x14ac:dyDescent="0.4">
      <c r="B44" s="54" t="s">
        <v>177</v>
      </c>
      <c r="C44" s="88">
        <f>N38</f>
        <v>37.779423909375453</v>
      </c>
      <c r="D44" s="73">
        <f>C44*K40</f>
        <v>1075941.3699924927</v>
      </c>
      <c r="E44" s="73">
        <f t="shared" si="23"/>
        <v>362.97</v>
      </c>
      <c r="F44" s="73">
        <f t="shared" si="24"/>
        <v>1075578.3999924927</v>
      </c>
      <c r="G44" s="73">
        <f t="shared" si="25"/>
        <v>1252.8764558860285</v>
      </c>
      <c r="H44" s="73">
        <f t="shared" si="26"/>
        <v>858.48719954741955</v>
      </c>
      <c r="I44" s="90"/>
      <c r="J44" s="90"/>
      <c r="K44" s="90"/>
      <c r="L44" s="90"/>
      <c r="M44" s="90"/>
      <c r="N44" s="90"/>
      <c r="O44" s="90"/>
    </row>
    <row r="45" spans="2:15" ht="16" thickBot="1" x14ac:dyDescent="0.4">
      <c r="B45" s="54" t="s">
        <v>136</v>
      </c>
      <c r="C45" s="88">
        <f>O38</f>
        <v>63.521206982252991</v>
      </c>
      <c r="D45" s="73">
        <f>F45+E45</f>
        <v>2226938.807321284</v>
      </c>
      <c r="E45" s="73">
        <f t="shared" si="23"/>
        <v>362.97</v>
      </c>
      <c r="F45" s="73">
        <f>C45*L40</f>
        <v>2226575.8373212838</v>
      </c>
      <c r="G45" s="73">
        <f t="shared" si="25"/>
        <v>1252.8764558860285</v>
      </c>
      <c r="H45" s="73">
        <f t="shared" si="26"/>
        <v>1777.1711064253814</v>
      </c>
      <c r="I45" s="90"/>
      <c r="J45" s="90"/>
      <c r="K45" s="90"/>
      <c r="L45" s="90"/>
      <c r="M45" s="90"/>
      <c r="N45" s="90"/>
      <c r="O45" s="90"/>
    </row>
    <row r="49" spans="2:15" ht="29" customHeight="1" x14ac:dyDescent="0.35">
      <c r="B49" s="149" t="s">
        <v>228</v>
      </c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</row>
    <row r="51" spans="2:15" x14ac:dyDescent="0.35">
      <c r="B51" s="117" t="s">
        <v>229</v>
      </c>
    </row>
    <row r="52" spans="2:15" ht="15" customHeight="1" x14ac:dyDescent="0.4">
      <c r="B52" s="132" t="s">
        <v>244</v>
      </c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</row>
    <row r="53" spans="2:15" ht="15" customHeight="1" x14ac:dyDescent="0.35"/>
    <row r="54" spans="2:15" ht="24" customHeight="1" x14ac:dyDescent="0.35">
      <c r="B54" s="150" t="s">
        <v>233</v>
      </c>
      <c r="C54" s="150"/>
      <c r="D54" s="150"/>
      <c r="E54" s="150"/>
      <c r="F54" s="150"/>
      <c r="G54" s="150"/>
      <c r="H54" s="150"/>
    </row>
    <row r="56" spans="2:15" ht="16" x14ac:dyDescent="0.4">
      <c r="B56" s="136" t="s">
        <v>230</v>
      </c>
      <c r="C56" s="136"/>
      <c r="D56" s="136"/>
      <c r="E56" s="136"/>
      <c r="F56" s="136"/>
    </row>
    <row r="57" spans="2:15" ht="16" x14ac:dyDescent="0.35">
      <c r="B57" s="145" t="s">
        <v>237</v>
      </c>
      <c r="C57" s="145"/>
      <c r="D57" s="145"/>
      <c r="E57" s="145"/>
      <c r="F57" s="145"/>
    </row>
    <row r="58" spans="2:15" ht="16" x14ac:dyDescent="0.4">
      <c r="B58" s="145" t="s">
        <v>238</v>
      </c>
      <c r="C58" s="145"/>
      <c r="D58" s="145"/>
      <c r="E58" s="145"/>
      <c r="F58" s="120"/>
    </row>
    <row r="59" spans="2:15" ht="16" x14ac:dyDescent="0.4">
      <c r="B59" s="145" t="s">
        <v>239</v>
      </c>
      <c r="C59" s="145"/>
      <c r="D59" s="145"/>
      <c r="E59" s="145"/>
      <c r="F59" s="120"/>
    </row>
    <row r="60" spans="2:15" ht="16" x14ac:dyDescent="0.4">
      <c r="B60" s="120"/>
      <c r="C60" s="120"/>
      <c r="D60" s="120"/>
      <c r="E60" s="120"/>
      <c r="F60" s="120"/>
    </row>
    <row r="61" spans="2:15" ht="16" x14ac:dyDescent="0.4">
      <c r="B61" s="136" t="s">
        <v>231</v>
      </c>
      <c r="C61" s="136"/>
      <c r="D61" s="136"/>
      <c r="E61" s="136"/>
      <c r="F61" s="136"/>
    </row>
    <row r="62" spans="2:15" ht="16" x14ac:dyDescent="0.35">
      <c r="B62" s="145" t="s">
        <v>240</v>
      </c>
      <c r="C62" s="145"/>
      <c r="D62" s="145"/>
      <c r="E62" s="145"/>
      <c r="F62" s="145"/>
    </row>
    <row r="63" spans="2:15" ht="16" x14ac:dyDescent="0.35">
      <c r="B63" s="145" t="s">
        <v>241</v>
      </c>
      <c r="C63" s="145"/>
      <c r="D63" s="145"/>
      <c r="E63" s="145"/>
      <c r="F63" s="145"/>
    </row>
    <row r="64" spans="2:15" ht="16" x14ac:dyDescent="0.35">
      <c r="B64" s="145" t="s">
        <v>242</v>
      </c>
      <c r="C64" s="145"/>
      <c r="D64" s="145"/>
      <c r="E64" s="145"/>
      <c r="F64" s="145"/>
    </row>
    <row r="65" spans="2:10" ht="16" x14ac:dyDescent="0.4">
      <c r="B65" s="120"/>
      <c r="C65" s="120"/>
      <c r="D65" s="120"/>
      <c r="E65" s="120"/>
      <c r="F65" s="120"/>
    </row>
    <row r="66" spans="2:10" ht="16" x14ac:dyDescent="0.4">
      <c r="B66" s="119" t="s">
        <v>232</v>
      </c>
      <c r="C66" s="120"/>
      <c r="D66" s="120"/>
      <c r="E66" s="120"/>
      <c r="F66" s="120"/>
    </row>
    <row r="67" spans="2:10" ht="16" x14ac:dyDescent="0.4">
      <c r="B67" s="120" t="s">
        <v>243</v>
      </c>
      <c r="C67" s="120"/>
      <c r="D67" s="120"/>
      <c r="E67" s="120"/>
      <c r="F67" s="120"/>
    </row>
    <row r="69" spans="2:10" ht="23.5" x14ac:dyDescent="0.35">
      <c r="B69" s="150" t="s">
        <v>234</v>
      </c>
      <c r="C69" s="150"/>
      <c r="D69" s="150"/>
      <c r="E69" s="150"/>
      <c r="F69" s="150"/>
    </row>
    <row r="70" spans="2:10" ht="16" x14ac:dyDescent="0.4">
      <c r="B70" s="137" t="s">
        <v>245</v>
      </c>
      <c r="C70" s="137"/>
      <c r="D70" s="137"/>
      <c r="E70" s="137"/>
      <c r="F70" s="137"/>
    </row>
    <row r="71" spans="2:10" ht="16" x14ac:dyDescent="0.4">
      <c r="B71" s="146" t="s">
        <v>246</v>
      </c>
      <c r="C71" s="146"/>
      <c r="D71" s="146"/>
      <c r="E71" s="146"/>
      <c r="F71" s="120"/>
    </row>
    <row r="72" spans="2:10" ht="16" x14ac:dyDescent="0.4">
      <c r="B72" s="146" t="s">
        <v>247</v>
      </c>
      <c r="C72" s="146"/>
      <c r="D72" s="146"/>
      <c r="E72" s="146"/>
      <c r="F72" s="120"/>
    </row>
    <row r="73" spans="2:10" ht="16" x14ac:dyDescent="0.35">
      <c r="B73" s="146" t="s">
        <v>248</v>
      </c>
      <c r="C73" s="146"/>
      <c r="D73" s="146"/>
      <c r="E73" s="146"/>
      <c r="F73" s="146"/>
    </row>
    <row r="74" spans="2:10" ht="16" x14ac:dyDescent="0.4">
      <c r="B74" s="137" t="s">
        <v>249</v>
      </c>
      <c r="C74" s="137"/>
      <c r="D74" s="137"/>
      <c r="E74" s="137"/>
      <c r="F74" s="137"/>
    </row>
    <row r="76" spans="2:10" ht="23.5" x14ac:dyDescent="0.35">
      <c r="B76" s="122" t="s">
        <v>236</v>
      </c>
    </row>
    <row r="77" spans="2:10" ht="19.5" customHeight="1" x14ac:dyDescent="0.35">
      <c r="B77" s="147" t="s">
        <v>235</v>
      </c>
      <c r="C77" s="147"/>
      <c r="D77" s="147"/>
      <c r="E77" s="147"/>
      <c r="F77" s="147"/>
      <c r="G77" s="147"/>
      <c r="H77" s="147"/>
      <c r="I77" s="147"/>
      <c r="J77" s="147"/>
    </row>
  </sheetData>
  <mergeCells count="25">
    <mergeCell ref="B74:F74"/>
    <mergeCell ref="B77:J77"/>
    <mergeCell ref="B4:O5"/>
    <mergeCell ref="B7:O7"/>
    <mergeCell ref="B16:O16"/>
    <mergeCell ref="B27:O27"/>
    <mergeCell ref="B49:O49"/>
    <mergeCell ref="B64:F64"/>
    <mergeCell ref="B54:H54"/>
    <mergeCell ref="B69:F69"/>
    <mergeCell ref="B70:F70"/>
    <mergeCell ref="B71:E71"/>
    <mergeCell ref="B72:E72"/>
    <mergeCell ref="B57:F57"/>
    <mergeCell ref="B58:E58"/>
    <mergeCell ref="B61:F61"/>
    <mergeCell ref="B62:F62"/>
    <mergeCell ref="B63:F63"/>
    <mergeCell ref="D29:I29"/>
    <mergeCell ref="B73:F73"/>
    <mergeCell ref="J29:L29"/>
    <mergeCell ref="M29:O29"/>
    <mergeCell ref="B52:N52"/>
    <mergeCell ref="B56:F56"/>
    <mergeCell ref="B59:E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7197-BE57-4E28-A2EC-B6337650773E}">
  <sheetPr>
    <tabColor rgb="FFFF0000"/>
  </sheetPr>
  <dimension ref="A1:K93"/>
  <sheetViews>
    <sheetView zoomScale="68" zoomScaleNormal="10" zoomScalePageLayoutView="120" workbookViewId="0">
      <pane xSplit="1" ySplit="1" topLeftCell="B63" activePane="bottomRight" state="frozen"/>
      <selection activeCell="C4" sqref="C4"/>
      <selection pane="topRight" activeCell="C4" sqref="C4"/>
      <selection pane="bottomLeft" activeCell="C4" sqref="C4"/>
      <selection pane="bottomRight" activeCell="I78" sqref="I78"/>
    </sheetView>
  </sheetViews>
  <sheetFormatPr defaultColWidth="8.81640625" defaultRowHeight="14.5" x14ac:dyDescent="0.35"/>
  <cols>
    <col min="1" max="1" width="27.6328125" style="2" bestFit="1" customWidth="1"/>
    <col min="2" max="11" width="13.453125" style="2" bestFit="1" customWidth="1"/>
    <col min="12" max="16384" width="8.81640625" style="2"/>
  </cols>
  <sheetData>
    <row r="1" spans="1:11" s="1" customFormat="1" x14ac:dyDescent="0.35">
      <c r="A1" s="1" t="s">
        <v>0</v>
      </c>
      <c r="B1" s="1" t="s">
        <v>1</v>
      </c>
      <c r="E1" s="141" t="str">
        <f>IF(B2&lt;&gt;B3, "A NEW VERSION OF THE WORKSHEET IS AVAILABLE", "")</f>
        <v/>
      </c>
      <c r="F1" s="141"/>
      <c r="G1" s="141"/>
      <c r="H1" s="141"/>
      <c r="I1" s="141"/>
      <c r="J1" s="141"/>
      <c r="K1" s="141"/>
    </row>
    <row r="2" spans="1:11" x14ac:dyDescent="0.35">
      <c r="A2" s="1" t="s">
        <v>2</v>
      </c>
      <c r="B2" s="2">
        <v>2.1</v>
      </c>
      <c r="E2" s="142" t="s">
        <v>3</v>
      </c>
      <c r="F2" s="142"/>
      <c r="G2" s="142"/>
      <c r="H2" s="142"/>
      <c r="I2" s="142"/>
      <c r="J2" s="142"/>
      <c r="K2" s="142"/>
    </row>
    <row r="3" spans="1:11" x14ac:dyDescent="0.35">
      <c r="A3" s="1" t="s">
        <v>4</v>
      </c>
      <c r="B3" s="2">
        <v>2.1</v>
      </c>
    </row>
    <row r="4" spans="1:11" x14ac:dyDescent="0.35">
      <c r="A4" s="1"/>
    </row>
    <row r="5" spans="1:11" x14ac:dyDescent="0.35">
      <c r="A5" s="1" t="s">
        <v>5</v>
      </c>
    </row>
    <row r="6" spans="1:11" x14ac:dyDescent="0.35">
      <c r="A6" s="2" t="s">
        <v>6</v>
      </c>
      <c r="B6" s="2">
        <f>IF(B9&gt;0, B9/B8, 0)</f>
        <v>1252.8764558860285</v>
      </c>
    </row>
    <row r="7" spans="1:11" x14ac:dyDescent="0.35">
      <c r="A7" s="2" t="s">
        <v>7</v>
      </c>
      <c r="B7">
        <v>1</v>
      </c>
    </row>
    <row r="8" spans="1:11" x14ac:dyDescent="0.35">
      <c r="A8" s="2" t="s">
        <v>8</v>
      </c>
      <c r="B8">
        <v>400.1</v>
      </c>
    </row>
    <row r="9" spans="1:11" x14ac:dyDescent="0.35">
      <c r="A9" s="2" t="s">
        <v>9</v>
      </c>
      <c r="B9">
        <v>501275.87</v>
      </c>
    </row>
    <row r="15" spans="1:11" x14ac:dyDescent="0.35">
      <c r="A15" s="1" t="s">
        <v>10</v>
      </c>
    </row>
    <row r="16" spans="1:11" s="5" customFormat="1" x14ac:dyDescent="0.35">
      <c r="A16" s="3" t="s">
        <v>11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6" customFormat="1" x14ac:dyDescent="0.35">
      <c r="A17" s="6" t="s">
        <v>12</v>
      </c>
      <c r="B17">
        <v>39192.1</v>
      </c>
      <c r="C17">
        <v>42767.6</v>
      </c>
      <c r="D17">
        <v>43448.94</v>
      </c>
      <c r="E17">
        <v>48339.58</v>
      </c>
      <c r="F17">
        <v>49387.7</v>
      </c>
      <c r="G17">
        <v>49257.45</v>
      </c>
      <c r="H17">
        <v>60644.54</v>
      </c>
      <c r="I17">
        <v>70919.03</v>
      </c>
      <c r="J17">
        <v>67931.94</v>
      </c>
      <c r="K17">
        <v>75323.34</v>
      </c>
    </row>
    <row r="18" spans="1:11" s="6" customFormat="1" x14ac:dyDescent="0.35">
      <c r="A18" s="2" t="s">
        <v>13</v>
      </c>
      <c r="B18">
        <v>13763.88</v>
      </c>
      <c r="C18">
        <v>15456.59</v>
      </c>
      <c r="D18">
        <v>14827.72</v>
      </c>
      <c r="E18">
        <v>17623.52</v>
      </c>
      <c r="F18">
        <v>18048.599999999999</v>
      </c>
      <c r="G18">
        <v>20776.71</v>
      </c>
      <c r="H18">
        <v>27071.07</v>
      </c>
      <c r="I18">
        <v>29364.36</v>
      </c>
      <c r="J18">
        <v>27348.57</v>
      </c>
      <c r="K18">
        <v>32704.37</v>
      </c>
    </row>
    <row r="19" spans="1:11" s="6" customFormat="1" x14ac:dyDescent="0.35">
      <c r="A19" s="2" t="s">
        <v>14</v>
      </c>
      <c r="B19">
        <v>195.38</v>
      </c>
      <c r="C19">
        <v>-592.57000000000005</v>
      </c>
      <c r="D19">
        <v>-1027.76</v>
      </c>
      <c r="E19">
        <v>203.19</v>
      </c>
      <c r="F19">
        <v>703.13</v>
      </c>
      <c r="G19">
        <v>645.27</v>
      </c>
      <c r="H19">
        <v>686</v>
      </c>
      <c r="I19">
        <v>358.59</v>
      </c>
      <c r="J19">
        <v>367.77</v>
      </c>
      <c r="K19">
        <v>725.65</v>
      </c>
    </row>
    <row r="20" spans="1:11" s="6" customFormat="1" x14ac:dyDescent="0.35">
      <c r="A20" s="2" t="s">
        <v>15</v>
      </c>
      <c r="B20">
        <v>571.88</v>
      </c>
      <c r="C20">
        <v>584.33000000000004</v>
      </c>
      <c r="D20">
        <v>653.5</v>
      </c>
      <c r="E20">
        <v>746.73</v>
      </c>
      <c r="F20">
        <v>780.85</v>
      </c>
      <c r="G20">
        <v>699.56</v>
      </c>
      <c r="H20">
        <v>889.77</v>
      </c>
      <c r="I20">
        <v>1232.3399999999999</v>
      </c>
      <c r="J20">
        <v>952.9</v>
      </c>
      <c r="K20">
        <v>975.35</v>
      </c>
    </row>
    <row r="21" spans="1:11" s="6" customFormat="1" x14ac:dyDescent="0.35">
      <c r="A21" s="2" t="s">
        <v>16</v>
      </c>
      <c r="B21">
        <v>1581.59</v>
      </c>
      <c r="C21">
        <v>1683.9</v>
      </c>
      <c r="D21">
        <v>1697.62</v>
      </c>
      <c r="E21">
        <v>1871.01</v>
      </c>
      <c r="F21">
        <v>1908.29</v>
      </c>
      <c r="G21">
        <v>1587.18</v>
      </c>
      <c r="H21">
        <v>1887.67</v>
      </c>
      <c r="I21">
        <v>2327.8000000000002</v>
      </c>
      <c r="J21">
        <v>2183.7600000000002</v>
      </c>
      <c r="K21">
        <v>2345.36</v>
      </c>
    </row>
    <row r="22" spans="1:11" s="6" customFormat="1" x14ac:dyDescent="0.35">
      <c r="A22" s="2" t="s">
        <v>17</v>
      </c>
      <c r="B22">
        <v>3440.97</v>
      </c>
      <c r="C22">
        <v>3631.73</v>
      </c>
      <c r="D22">
        <v>3760.9</v>
      </c>
      <c r="E22">
        <v>4177.88</v>
      </c>
      <c r="F22">
        <v>4295.79</v>
      </c>
      <c r="G22">
        <v>4463.33</v>
      </c>
      <c r="H22">
        <v>4890.55</v>
      </c>
      <c r="I22">
        <v>5736.22</v>
      </c>
      <c r="J22">
        <v>5548.53</v>
      </c>
      <c r="K22">
        <v>6169.78</v>
      </c>
    </row>
    <row r="23" spans="1:11" s="6" customFormat="1" x14ac:dyDescent="0.35">
      <c r="A23" s="2" t="s">
        <v>18</v>
      </c>
      <c r="B23">
        <v>4261.78</v>
      </c>
      <c r="C23">
        <v>4179.74</v>
      </c>
      <c r="D23">
        <v>3954.87</v>
      </c>
      <c r="E23">
        <v>4546.3900000000003</v>
      </c>
      <c r="F23">
        <v>4488.63</v>
      </c>
      <c r="G23">
        <v>4236.7700000000004</v>
      </c>
      <c r="H23">
        <v>4858.38</v>
      </c>
      <c r="I23">
        <v>5604.08</v>
      </c>
      <c r="J23">
        <v>5312.45</v>
      </c>
      <c r="K23">
        <v>5793.29</v>
      </c>
    </row>
    <row r="24" spans="1:11" s="6" customFormat="1" x14ac:dyDescent="0.35">
      <c r="A24" s="2" t="s">
        <v>19</v>
      </c>
      <c r="B24">
        <v>1235.8900000000001</v>
      </c>
      <c r="C24">
        <v>1169.23</v>
      </c>
      <c r="D24">
        <v>1005.98</v>
      </c>
      <c r="E24">
        <v>1039.8499999999999</v>
      </c>
      <c r="F24">
        <v>1225.1300000000001</v>
      </c>
      <c r="G24">
        <v>1074.3900000000001</v>
      </c>
      <c r="H24">
        <v>1109.95</v>
      </c>
      <c r="I24">
        <v>1308.56</v>
      </c>
      <c r="J24">
        <v>1765.97</v>
      </c>
      <c r="K24">
        <v>2221.39</v>
      </c>
    </row>
    <row r="25" spans="1:11" s="6" customFormat="1" x14ac:dyDescent="0.35">
      <c r="A25" s="6" t="s">
        <v>20</v>
      </c>
      <c r="B25">
        <v>1483.11</v>
      </c>
      <c r="C25">
        <v>1758.63</v>
      </c>
      <c r="D25">
        <v>2239.81</v>
      </c>
      <c r="E25">
        <v>2080.44</v>
      </c>
      <c r="F25">
        <v>2417.3200000000002</v>
      </c>
      <c r="G25">
        <v>2576.9499999999998</v>
      </c>
      <c r="H25">
        <v>1909.72</v>
      </c>
      <c r="I25">
        <v>2097.64</v>
      </c>
      <c r="J25">
        <v>3330.45</v>
      </c>
      <c r="K25">
        <v>17794.88</v>
      </c>
    </row>
    <row r="26" spans="1:11" s="6" customFormat="1" x14ac:dyDescent="0.35">
      <c r="A26" s="6" t="s">
        <v>21</v>
      </c>
      <c r="B26">
        <v>1077.4000000000001</v>
      </c>
      <c r="C26">
        <v>1152.79</v>
      </c>
      <c r="D26">
        <v>1236.28</v>
      </c>
      <c r="E26">
        <v>1396.61</v>
      </c>
      <c r="F26">
        <v>1644.91</v>
      </c>
      <c r="G26">
        <v>1645.59</v>
      </c>
      <c r="H26">
        <v>1732.41</v>
      </c>
      <c r="I26">
        <v>1809.01</v>
      </c>
      <c r="J26">
        <v>1518.05</v>
      </c>
      <c r="K26">
        <v>1646.32</v>
      </c>
    </row>
    <row r="27" spans="1:11" s="6" customFormat="1" x14ac:dyDescent="0.35">
      <c r="A27" s="6" t="s">
        <v>22</v>
      </c>
      <c r="B27">
        <v>78.13</v>
      </c>
      <c r="C27">
        <v>49.03</v>
      </c>
      <c r="D27">
        <v>115.01</v>
      </c>
      <c r="E27">
        <v>71.400000000000006</v>
      </c>
      <c r="F27">
        <v>81.38</v>
      </c>
      <c r="G27">
        <v>57.97</v>
      </c>
      <c r="H27">
        <v>59.99</v>
      </c>
      <c r="I27">
        <v>77.77</v>
      </c>
      <c r="J27">
        <v>39.11</v>
      </c>
      <c r="K27">
        <v>45.06</v>
      </c>
    </row>
    <row r="28" spans="1:11" s="6" customFormat="1" x14ac:dyDescent="0.35">
      <c r="A28" s="6" t="s">
        <v>23</v>
      </c>
      <c r="B28">
        <v>14859.07</v>
      </c>
      <c r="C28">
        <v>16026.32</v>
      </c>
      <c r="D28">
        <v>17409.11</v>
      </c>
      <c r="E28">
        <v>19149.82</v>
      </c>
      <c r="F28">
        <v>20034.57</v>
      </c>
      <c r="G28">
        <v>17938.169999999998</v>
      </c>
      <c r="H28">
        <v>20740.47</v>
      </c>
      <c r="I28">
        <v>25915.119999999999</v>
      </c>
      <c r="J28">
        <v>26960.82</v>
      </c>
      <c r="K28">
        <v>41942.949999999997</v>
      </c>
    </row>
    <row r="29" spans="1:11" s="6" customFormat="1" x14ac:dyDescent="0.35">
      <c r="A29" s="6" t="s">
        <v>24</v>
      </c>
      <c r="B29">
        <v>5358.21</v>
      </c>
      <c r="C29">
        <v>5549.09</v>
      </c>
      <c r="D29">
        <v>5916.43</v>
      </c>
      <c r="E29">
        <v>6313.92</v>
      </c>
      <c r="F29">
        <v>4441.79</v>
      </c>
      <c r="G29">
        <v>4555.29</v>
      </c>
      <c r="H29">
        <v>5237.34</v>
      </c>
      <c r="I29">
        <v>6438.4</v>
      </c>
      <c r="J29">
        <v>6209.46</v>
      </c>
      <c r="K29">
        <v>6890.47</v>
      </c>
    </row>
    <row r="30" spans="1:11" s="6" customFormat="1" x14ac:dyDescent="0.35">
      <c r="A30" s="6" t="s">
        <v>25</v>
      </c>
      <c r="B30">
        <v>9344.4500000000007</v>
      </c>
      <c r="C30">
        <v>10289.44</v>
      </c>
      <c r="D30">
        <v>11271.2</v>
      </c>
      <c r="E30">
        <v>12592.33</v>
      </c>
      <c r="F30">
        <v>15306.23</v>
      </c>
      <c r="G30">
        <v>13161.19</v>
      </c>
      <c r="H30">
        <v>15242.66</v>
      </c>
      <c r="I30">
        <v>19191.66</v>
      </c>
      <c r="J30">
        <v>20458.78</v>
      </c>
      <c r="K30">
        <v>34746.629999999997</v>
      </c>
    </row>
    <row r="31" spans="1:11" s="6" customFormat="1" x14ac:dyDescent="0.35">
      <c r="A31" s="6" t="s">
        <v>26</v>
      </c>
      <c r="B31">
        <v>6840.12</v>
      </c>
      <c r="C31">
        <v>5770.02</v>
      </c>
      <c r="D31">
        <v>6285.21</v>
      </c>
      <c r="E31">
        <v>7048.7</v>
      </c>
      <c r="F31">
        <v>12476.58</v>
      </c>
      <c r="G31">
        <v>13231.96</v>
      </c>
      <c r="H31">
        <v>14171.8</v>
      </c>
      <c r="I31">
        <v>19263.400000000001</v>
      </c>
      <c r="J31">
        <v>17166.46</v>
      </c>
      <c r="K31">
        <v>17957.73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27</v>
      </c>
    </row>
    <row r="41" spans="1:11" s="5" customFormat="1" x14ac:dyDescent="0.35">
      <c r="A41" s="3" t="s">
        <v>11</v>
      </c>
      <c r="B41" s="4">
        <v>45107</v>
      </c>
      <c r="C41" s="4">
        <v>45199</v>
      </c>
      <c r="D41" s="4">
        <v>45291</v>
      </c>
      <c r="E41" s="4">
        <v>45382</v>
      </c>
      <c r="F41" s="4">
        <v>45473</v>
      </c>
      <c r="G41" s="4">
        <v>45565</v>
      </c>
      <c r="H41" s="4">
        <v>45657</v>
      </c>
      <c r="I41" s="4">
        <v>45747</v>
      </c>
      <c r="J41" s="4">
        <v>45838</v>
      </c>
      <c r="K41" s="4">
        <v>45930</v>
      </c>
    </row>
    <row r="42" spans="1:11" s="6" customFormat="1" x14ac:dyDescent="0.35">
      <c r="A42" s="6" t="s">
        <v>12</v>
      </c>
      <c r="B42">
        <v>17164.46</v>
      </c>
      <c r="C42">
        <v>17774.47</v>
      </c>
      <c r="D42">
        <v>17195.240000000002</v>
      </c>
      <c r="E42">
        <v>17037.8</v>
      </c>
      <c r="F42">
        <v>17777.810000000001</v>
      </c>
      <c r="G42">
        <v>19990.36</v>
      </c>
      <c r="H42">
        <v>18790.169999999998</v>
      </c>
      <c r="I42">
        <v>18765</v>
      </c>
      <c r="J42">
        <v>21494.79</v>
      </c>
      <c r="K42">
        <v>19501.63</v>
      </c>
    </row>
    <row r="43" spans="1:11" s="6" customFormat="1" x14ac:dyDescent="0.35">
      <c r="A43" s="6" t="s">
        <v>28</v>
      </c>
      <c r="B43">
        <v>10494.39</v>
      </c>
      <c r="C43">
        <v>11320.23</v>
      </c>
      <c r="D43">
        <v>10985.01</v>
      </c>
      <c r="E43">
        <v>10735.73</v>
      </c>
      <c r="F43">
        <v>11232.97</v>
      </c>
      <c r="G43">
        <v>13438.28</v>
      </c>
      <c r="H43">
        <v>12428.27</v>
      </c>
      <c r="I43">
        <v>12245.61</v>
      </c>
      <c r="J43">
        <v>14678.32</v>
      </c>
      <c r="K43">
        <v>12806.94</v>
      </c>
    </row>
    <row r="44" spans="1:11" s="6" customFormat="1" x14ac:dyDescent="0.35">
      <c r="A44" s="6" t="s">
        <v>20</v>
      </c>
      <c r="B44">
        <v>722.3</v>
      </c>
      <c r="C44">
        <v>673.5</v>
      </c>
      <c r="D44">
        <v>820.26</v>
      </c>
      <c r="E44">
        <v>868</v>
      </c>
      <c r="F44">
        <v>771.13</v>
      </c>
      <c r="G44">
        <v>690.31</v>
      </c>
      <c r="H44">
        <v>803.4</v>
      </c>
      <c r="I44">
        <v>15391.28</v>
      </c>
      <c r="J44">
        <v>750.97</v>
      </c>
      <c r="K44">
        <v>738.84</v>
      </c>
    </row>
    <row r="45" spans="1:11" s="6" customFormat="1" x14ac:dyDescent="0.35">
      <c r="A45" s="6" t="s">
        <v>21</v>
      </c>
      <c r="B45">
        <v>442.46</v>
      </c>
      <c r="C45">
        <v>453.04</v>
      </c>
      <c r="D45">
        <v>384.04</v>
      </c>
      <c r="E45">
        <v>385.09</v>
      </c>
      <c r="F45">
        <v>403.13</v>
      </c>
      <c r="G45">
        <v>416.18</v>
      </c>
      <c r="H45">
        <v>415.98</v>
      </c>
      <c r="I45">
        <v>411.03</v>
      </c>
      <c r="J45">
        <v>422.96</v>
      </c>
      <c r="K45">
        <v>434.8</v>
      </c>
    </row>
    <row r="46" spans="1:11" s="6" customFormat="1" x14ac:dyDescent="0.35">
      <c r="A46" s="6" t="s">
        <v>22</v>
      </c>
      <c r="B46">
        <v>9.9</v>
      </c>
      <c r="C46">
        <v>9.8699999999999992</v>
      </c>
      <c r="D46">
        <v>11.94</v>
      </c>
      <c r="E46">
        <v>10.72</v>
      </c>
      <c r="F46">
        <v>9.6</v>
      </c>
      <c r="G46">
        <v>14.73</v>
      </c>
      <c r="H46">
        <v>9.82</v>
      </c>
      <c r="I46">
        <v>10.91</v>
      </c>
      <c r="J46">
        <v>16.47</v>
      </c>
      <c r="K46">
        <v>20.05</v>
      </c>
    </row>
    <row r="47" spans="1:11" s="6" customFormat="1" x14ac:dyDescent="0.35">
      <c r="A47" s="6" t="s">
        <v>23</v>
      </c>
      <c r="B47">
        <v>6940.01</v>
      </c>
      <c r="C47">
        <v>6664.83</v>
      </c>
      <c r="D47">
        <v>6634.51</v>
      </c>
      <c r="E47">
        <v>6774.26</v>
      </c>
      <c r="F47">
        <v>6903.24</v>
      </c>
      <c r="G47">
        <v>6811.48</v>
      </c>
      <c r="H47">
        <v>6739.5</v>
      </c>
      <c r="I47">
        <v>21488.73</v>
      </c>
      <c r="J47">
        <v>7128.01</v>
      </c>
      <c r="K47">
        <v>6978.68</v>
      </c>
    </row>
    <row r="48" spans="1:11" s="6" customFormat="1" x14ac:dyDescent="0.35">
      <c r="A48" s="6" t="s">
        <v>24</v>
      </c>
      <c r="B48">
        <v>1759.89</v>
      </c>
      <c r="C48">
        <v>1700.31</v>
      </c>
      <c r="D48">
        <v>1227.99</v>
      </c>
      <c r="E48">
        <v>1583.55</v>
      </c>
      <c r="F48">
        <v>1726.25</v>
      </c>
      <c r="G48">
        <v>1757.05</v>
      </c>
      <c r="H48">
        <v>1726.32</v>
      </c>
      <c r="I48">
        <v>1680.85</v>
      </c>
      <c r="J48">
        <v>1784.6</v>
      </c>
      <c r="K48">
        <v>1792.13</v>
      </c>
    </row>
    <row r="49" spans="1:11" s="6" customFormat="1" x14ac:dyDescent="0.35">
      <c r="A49" s="6" t="s">
        <v>25</v>
      </c>
      <c r="B49">
        <v>5104.93</v>
      </c>
      <c r="C49">
        <v>4898.07</v>
      </c>
      <c r="D49">
        <v>5335.23</v>
      </c>
      <c r="E49">
        <v>5120.55</v>
      </c>
      <c r="F49">
        <v>5091.59</v>
      </c>
      <c r="G49">
        <v>4992.87</v>
      </c>
      <c r="H49">
        <v>4934.8</v>
      </c>
      <c r="I49">
        <v>19727.37</v>
      </c>
      <c r="J49">
        <v>5244.2</v>
      </c>
      <c r="K49">
        <v>5126.1099999999997</v>
      </c>
    </row>
    <row r="50" spans="1:11" x14ac:dyDescent="0.35">
      <c r="A50" s="6" t="s">
        <v>29</v>
      </c>
      <c r="B50">
        <v>6670.07</v>
      </c>
      <c r="C50">
        <v>6454.24</v>
      </c>
      <c r="D50">
        <v>6210.23</v>
      </c>
      <c r="E50">
        <v>6302.07</v>
      </c>
      <c r="F50">
        <v>6544.84</v>
      </c>
      <c r="G50">
        <v>6552.08</v>
      </c>
      <c r="H50">
        <v>6361.9</v>
      </c>
      <c r="I50">
        <v>6519.39</v>
      </c>
      <c r="J50">
        <v>6816.47</v>
      </c>
      <c r="K50">
        <v>6694.69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30</v>
      </c>
    </row>
    <row r="56" spans="1:11" s="5" customFormat="1" x14ac:dyDescent="0.35">
      <c r="A56" s="3" t="s">
        <v>11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35">
      <c r="A57" s="6" t="s">
        <v>31</v>
      </c>
      <c r="B57">
        <v>804.72</v>
      </c>
      <c r="C57">
        <v>1214.74</v>
      </c>
      <c r="D57">
        <v>1220.43</v>
      </c>
      <c r="E57">
        <v>1225.8599999999999</v>
      </c>
      <c r="F57">
        <v>1229.22</v>
      </c>
      <c r="G57">
        <v>1230.8800000000001</v>
      </c>
      <c r="H57">
        <v>1232.33</v>
      </c>
      <c r="I57">
        <v>1242.8</v>
      </c>
      <c r="J57">
        <v>1248.47</v>
      </c>
      <c r="K57">
        <v>1251.4100000000001</v>
      </c>
    </row>
    <row r="58" spans="1:11" x14ac:dyDescent="0.35">
      <c r="A58" s="6" t="s">
        <v>32</v>
      </c>
      <c r="B58">
        <v>41874.800000000003</v>
      </c>
      <c r="C58">
        <v>45198.19</v>
      </c>
      <c r="D58">
        <v>51289.68</v>
      </c>
      <c r="E58">
        <v>57915.01</v>
      </c>
      <c r="F58">
        <v>64044.04</v>
      </c>
      <c r="G58">
        <v>59116.46</v>
      </c>
      <c r="H58">
        <v>61223.24</v>
      </c>
      <c r="I58">
        <v>67912.460000000006</v>
      </c>
      <c r="J58">
        <v>73258.53</v>
      </c>
      <c r="K58">
        <v>68778.64</v>
      </c>
    </row>
    <row r="59" spans="1:11" x14ac:dyDescent="0.35">
      <c r="A59" s="6" t="s">
        <v>33</v>
      </c>
      <c r="B59">
        <v>83.78</v>
      </c>
      <c r="C59">
        <v>45.72</v>
      </c>
      <c r="D59">
        <v>35.92</v>
      </c>
      <c r="E59">
        <v>13.44</v>
      </c>
      <c r="F59">
        <v>277.45</v>
      </c>
      <c r="G59">
        <v>270.83</v>
      </c>
      <c r="H59">
        <v>249.44</v>
      </c>
      <c r="I59">
        <v>306.04000000000002</v>
      </c>
      <c r="J59">
        <v>303.43</v>
      </c>
      <c r="K59">
        <v>284.54000000000002</v>
      </c>
    </row>
    <row r="60" spans="1:11" x14ac:dyDescent="0.35">
      <c r="A60" s="6" t="s">
        <v>34</v>
      </c>
      <c r="B60">
        <v>8888.0400000000009</v>
      </c>
      <c r="C60">
        <v>9439.67</v>
      </c>
      <c r="D60">
        <v>11694.85</v>
      </c>
      <c r="E60">
        <v>12584.73</v>
      </c>
      <c r="F60">
        <v>11760.04</v>
      </c>
      <c r="G60">
        <v>13142.59</v>
      </c>
      <c r="H60">
        <v>14491.01</v>
      </c>
      <c r="I60">
        <v>16369.66</v>
      </c>
      <c r="J60">
        <v>16943.54</v>
      </c>
      <c r="K60">
        <v>17688.11</v>
      </c>
    </row>
    <row r="61" spans="1:11" s="1" customFormat="1" x14ac:dyDescent="0.35">
      <c r="A61" s="1" t="s">
        <v>35</v>
      </c>
      <c r="B61">
        <v>51651.34</v>
      </c>
      <c r="C61">
        <v>55898.32</v>
      </c>
      <c r="D61">
        <v>64240.88</v>
      </c>
      <c r="E61">
        <v>71739.039999999994</v>
      </c>
      <c r="F61">
        <v>77310.75</v>
      </c>
      <c r="G61">
        <v>73760.759999999995</v>
      </c>
      <c r="H61">
        <v>77196.02</v>
      </c>
      <c r="I61">
        <v>85830.96</v>
      </c>
      <c r="J61">
        <v>91753.97</v>
      </c>
      <c r="K61">
        <v>88002.7</v>
      </c>
    </row>
    <row r="62" spans="1:11" x14ac:dyDescent="0.35">
      <c r="A62" s="6" t="s">
        <v>36</v>
      </c>
      <c r="B62">
        <v>15106.63</v>
      </c>
      <c r="C62">
        <v>15893.48</v>
      </c>
      <c r="D62">
        <v>16523.96</v>
      </c>
      <c r="E62">
        <v>19374.189999999999</v>
      </c>
      <c r="F62">
        <v>21713.34</v>
      </c>
      <c r="G62">
        <v>23298.48</v>
      </c>
      <c r="H62">
        <v>24231.59</v>
      </c>
      <c r="I62">
        <v>25851.27</v>
      </c>
      <c r="J62">
        <v>27820.22</v>
      </c>
      <c r="K62">
        <v>21954.85</v>
      </c>
    </row>
    <row r="63" spans="1:11" x14ac:dyDescent="0.35">
      <c r="A63" s="6" t="s">
        <v>37</v>
      </c>
      <c r="B63">
        <v>2559.7199999999998</v>
      </c>
      <c r="C63">
        <v>3729.89</v>
      </c>
      <c r="D63">
        <v>5508.33</v>
      </c>
      <c r="E63">
        <v>4136.42</v>
      </c>
      <c r="F63">
        <v>3256.46</v>
      </c>
      <c r="G63">
        <v>4011.29</v>
      </c>
      <c r="H63">
        <v>3225.54</v>
      </c>
      <c r="I63">
        <v>3003.3</v>
      </c>
      <c r="J63">
        <v>2860.78</v>
      </c>
      <c r="K63">
        <v>1090.9100000000001</v>
      </c>
    </row>
    <row r="64" spans="1:11" x14ac:dyDescent="0.35">
      <c r="A64" s="6" t="s">
        <v>38</v>
      </c>
      <c r="B64">
        <v>11747.59</v>
      </c>
      <c r="C64">
        <v>17581.38</v>
      </c>
      <c r="D64">
        <v>22052.86</v>
      </c>
      <c r="E64">
        <v>25043.49</v>
      </c>
      <c r="F64">
        <v>28663.35</v>
      </c>
      <c r="G64">
        <v>24870.87</v>
      </c>
      <c r="H64">
        <v>24841.01</v>
      </c>
      <c r="I64">
        <v>29415.02</v>
      </c>
      <c r="J64">
        <v>31114.02</v>
      </c>
      <c r="K64">
        <v>34719.82</v>
      </c>
    </row>
    <row r="65" spans="1:11" x14ac:dyDescent="0.35">
      <c r="A65" s="6" t="s">
        <v>39</v>
      </c>
      <c r="B65">
        <v>22237.4</v>
      </c>
      <c r="C65">
        <v>18693.57</v>
      </c>
      <c r="D65">
        <v>20155.73</v>
      </c>
      <c r="E65">
        <v>23184.94</v>
      </c>
      <c r="F65">
        <v>23677.599999999999</v>
      </c>
      <c r="G65">
        <v>21580.12</v>
      </c>
      <c r="H65">
        <v>24897.88</v>
      </c>
      <c r="I65">
        <v>27561.37</v>
      </c>
      <c r="J65">
        <v>29958.95</v>
      </c>
      <c r="K65">
        <v>30237.119999999999</v>
      </c>
    </row>
    <row r="66" spans="1:11" s="1" customFormat="1" x14ac:dyDescent="0.35">
      <c r="A66" s="1" t="s">
        <v>35</v>
      </c>
      <c r="B66">
        <v>51651.34</v>
      </c>
      <c r="C66">
        <v>55898.32</v>
      </c>
      <c r="D66">
        <v>64240.88</v>
      </c>
      <c r="E66">
        <v>71739.039999999994</v>
      </c>
      <c r="F66">
        <v>77310.75</v>
      </c>
      <c r="G66">
        <v>73760.759999999995</v>
      </c>
      <c r="H66">
        <v>77196.02</v>
      </c>
      <c r="I66">
        <v>85830.96</v>
      </c>
      <c r="J66">
        <v>91753.97</v>
      </c>
      <c r="K66">
        <v>88002.7</v>
      </c>
    </row>
    <row r="67" spans="1:11" s="6" customFormat="1" x14ac:dyDescent="0.35">
      <c r="A67" s="6" t="s">
        <v>40</v>
      </c>
      <c r="B67">
        <v>1917.18</v>
      </c>
      <c r="C67">
        <v>2474.29</v>
      </c>
      <c r="D67">
        <v>2682.29</v>
      </c>
      <c r="E67">
        <v>4035.28</v>
      </c>
      <c r="F67">
        <v>2562.48</v>
      </c>
      <c r="G67">
        <v>2501.6999999999998</v>
      </c>
      <c r="H67">
        <v>2461.9</v>
      </c>
      <c r="I67">
        <v>2956.17</v>
      </c>
      <c r="J67">
        <v>4025.82</v>
      </c>
      <c r="K67">
        <v>4719.67</v>
      </c>
    </row>
    <row r="68" spans="1:11" x14ac:dyDescent="0.35">
      <c r="A68" s="6" t="s">
        <v>41</v>
      </c>
      <c r="B68">
        <v>9062.1</v>
      </c>
      <c r="C68">
        <v>8116.1</v>
      </c>
      <c r="D68">
        <v>7495.09</v>
      </c>
      <c r="E68">
        <v>7859.56</v>
      </c>
      <c r="F68">
        <v>8879.33</v>
      </c>
      <c r="G68">
        <v>10397.16</v>
      </c>
      <c r="H68">
        <v>10864.15</v>
      </c>
      <c r="I68">
        <v>11771.16</v>
      </c>
      <c r="J68">
        <v>14152.88</v>
      </c>
      <c r="K68">
        <v>15637.56</v>
      </c>
    </row>
    <row r="69" spans="1:11" x14ac:dyDescent="0.35">
      <c r="A69" s="2" t="s">
        <v>42</v>
      </c>
      <c r="B69">
        <v>6063.3</v>
      </c>
      <c r="C69">
        <v>2967.4</v>
      </c>
      <c r="D69">
        <v>2899.6</v>
      </c>
      <c r="E69">
        <v>4152.03</v>
      </c>
      <c r="F69">
        <v>7277.34</v>
      </c>
      <c r="G69">
        <v>4659.0200000000004</v>
      </c>
      <c r="H69">
        <v>4654.42</v>
      </c>
      <c r="I69">
        <v>4880.1899999999996</v>
      </c>
      <c r="J69">
        <v>7217.68</v>
      </c>
      <c r="K69">
        <v>4012.36</v>
      </c>
    </row>
    <row r="70" spans="1:11" x14ac:dyDescent="0.35">
      <c r="A70" s="2" t="s">
        <v>43</v>
      </c>
      <c r="B70">
        <v>8047206991</v>
      </c>
      <c r="C70">
        <v>12147383071</v>
      </c>
      <c r="D70">
        <v>12204294911</v>
      </c>
      <c r="E70">
        <v>12258631601</v>
      </c>
      <c r="F70">
        <v>12292231241</v>
      </c>
      <c r="G70">
        <v>12308844231</v>
      </c>
      <c r="H70">
        <v>12323255931</v>
      </c>
      <c r="I70">
        <v>12428017741</v>
      </c>
      <c r="J70">
        <v>12484700000</v>
      </c>
      <c r="K70">
        <v>12514119781</v>
      </c>
    </row>
    <row r="71" spans="1:11" x14ac:dyDescent="0.35">
      <c r="A71" s="2" t="s">
        <v>44</v>
      </c>
      <c r="C71">
        <v>4026657100</v>
      </c>
    </row>
    <row r="72" spans="1:11" x14ac:dyDescent="0.35">
      <c r="A72" s="2" t="s">
        <v>45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6"/>
    </row>
    <row r="75" spans="1:11" x14ac:dyDescent="0.35">
      <c r="A75" s="6" t="s">
        <v>130</v>
      </c>
      <c r="I75" s="2">
        <f t="shared" ref="I75:K75" si="0">SUM(H67:H68)-SUM(I67:I68)</f>
        <v>-1401.2800000000007</v>
      </c>
      <c r="J75" s="2">
        <f t="shared" si="0"/>
        <v>-3451.3700000000008</v>
      </c>
      <c r="K75" s="2">
        <f t="shared" si="0"/>
        <v>-2178.5299999999988</v>
      </c>
    </row>
    <row r="76" spans="1:11" x14ac:dyDescent="0.35">
      <c r="A76" s="6" t="s">
        <v>131</v>
      </c>
      <c r="I76" s="2">
        <f t="shared" ref="I76:K76" si="1">I75+I83</f>
        <v>-7133.5700000000006</v>
      </c>
      <c r="J76" s="2">
        <f t="shared" si="1"/>
        <v>-1888.6000000000008</v>
      </c>
      <c r="K76" s="2">
        <f t="shared" si="1"/>
        <v>-2742.369999999999</v>
      </c>
    </row>
    <row r="77" spans="1:11" x14ac:dyDescent="0.35">
      <c r="A77" s="6" t="s">
        <v>132</v>
      </c>
      <c r="I77" s="2">
        <f>'DCF Valuation '!E45*(1+Tax_Rate)</f>
        <v>29869.062499999996</v>
      </c>
      <c r="J77" s="2">
        <f>'DCF Valuation '!F45*(1+Tax_Rate)</f>
        <v>29586.850000000009</v>
      </c>
      <c r="K77" s="2">
        <f>'DCF Valuation '!G45*(1+Tax_Rate)</f>
        <v>30241.412499999999</v>
      </c>
    </row>
    <row r="78" spans="1:11" x14ac:dyDescent="0.35">
      <c r="A78" s="6"/>
      <c r="I78" s="62">
        <f t="shared" ref="I78:K78" si="2">-I76/I77</f>
        <v>0.23882805160021348</v>
      </c>
      <c r="J78" s="2">
        <f t="shared" si="2"/>
        <v>6.3832412034400418E-2</v>
      </c>
      <c r="K78" s="2">
        <f t="shared" si="2"/>
        <v>9.0682602871145629E-2</v>
      </c>
    </row>
    <row r="79" spans="1:11" x14ac:dyDescent="0.35">
      <c r="A79" s="6"/>
    </row>
    <row r="80" spans="1:11" x14ac:dyDescent="0.35">
      <c r="A80" s="1" t="s">
        <v>46</v>
      </c>
    </row>
    <row r="81" spans="1:11" s="5" customFormat="1" x14ac:dyDescent="0.35">
      <c r="A81" s="3" t="s">
        <v>11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35">
      <c r="A82" s="6" t="s">
        <v>47</v>
      </c>
      <c r="B82">
        <v>9799.0400000000009</v>
      </c>
      <c r="C82">
        <v>10627.31</v>
      </c>
      <c r="D82">
        <v>13169.4</v>
      </c>
      <c r="E82">
        <v>12583.41</v>
      </c>
      <c r="F82">
        <v>14689.66</v>
      </c>
      <c r="G82">
        <v>12526.97</v>
      </c>
      <c r="H82">
        <v>15775.51</v>
      </c>
      <c r="I82">
        <v>18877.55</v>
      </c>
      <c r="J82">
        <v>17178.86</v>
      </c>
      <c r="K82">
        <v>17627.04</v>
      </c>
    </row>
    <row r="83" spans="1:11" s="6" customFormat="1" x14ac:dyDescent="0.35">
      <c r="A83" s="6" t="s">
        <v>48</v>
      </c>
      <c r="B83">
        <v>-3920.73</v>
      </c>
      <c r="C83">
        <v>-3250.93</v>
      </c>
      <c r="D83">
        <v>-7113.89</v>
      </c>
      <c r="E83">
        <v>-5545.68</v>
      </c>
      <c r="F83">
        <v>-6174.02</v>
      </c>
      <c r="G83">
        <v>5739.98</v>
      </c>
      <c r="H83">
        <v>-2238.4899999999998</v>
      </c>
      <c r="I83">
        <v>-5732.29</v>
      </c>
      <c r="J83">
        <v>1562.77</v>
      </c>
      <c r="K83">
        <v>-563.84</v>
      </c>
    </row>
    <row r="84" spans="1:11" s="6" customFormat="1" x14ac:dyDescent="0.35">
      <c r="A84" s="6" t="s">
        <v>49</v>
      </c>
      <c r="B84">
        <v>-5612.52</v>
      </c>
      <c r="C84">
        <v>-7301.03</v>
      </c>
      <c r="D84">
        <v>-6221.13</v>
      </c>
      <c r="E84">
        <v>-6868.64</v>
      </c>
      <c r="F84">
        <v>-8181.48</v>
      </c>
      <c r="G84">
        <v>-18633.830000000002</v>
      </c>
      <c r="H84">
        <v>-13580.5</v>
      </c>
      <c r="I84">
        <v>-13006.03</v>
      </c>
      <c r="J84">
        <v>-18550.96</v>
      </c>
      <c r="K84">
        <v>-17037.400000000001</v>
      </c>
    </row>
    <row r="85" spans="1:11" s="1" customFormat="1" x14ac:dyDescent="0.35">
      <c r="A85" s="6" t="s">
        <v>50</v>
      </c>
      <c r="B85">
        <v>265.79000000000002</v>
      </c>
      <c r="C85">
        <v>75.349999999999994</v>
      </c>
      <c r="D85">
        <v>-165.62</v>
      </c>
      <c r="E85">
        <v>169.09</v>
      </c>
      <c r="F85">
        <v>334.16</v>
      </c>
      <c r="G85">
        <v>-366.88</v>
      </c>
      <c r="H85">
        <v>-43.48</v>
      </c>
      <c r="I85">
        <v>139.22999999999999</v>
      </c>
      <c r="J85">
        <v>190.67</v>
      </c>
      <c r="K85">
        <v>25.8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51</v>
      </c>
      <c r="B90">
        <v>205.13</v>
      </c>
      <c r="C90">
        <v>262.75</v>
      </c>
      <c r="D90">
        <v>239.5</v>
      </c>
      <c r="E90">
        <v>278.64</v>
      </c>
      <c r="F90">
        <v>160.94999999999999</v>
      </c>
      <c r="G90">
        <v>204.82</v>
      </c>
      <c r="H90">
        <v>234.96</v>
      </c>
      <c r="I90">
        <v>359.49</v>
      </c>
      <c r="J90">
        <v>401.53</v>
      </c>
      <c r="K90">
        <v>409.75</v>
      </c>
    </row>
    <row r="92" spans="1:11" s="1" customFormat="1" x14ac:dyDescent="0.35">
      <c r="A92" s="1" t="s">
        <v>52</v>
      </c>
    </row>
    <row r="93" spans="1:11" x14ac:dyDescent="0.35">
      <c r="A93" s="2" t="s">
        <v>53</v>
      </c>
      <c r="B93" s="7">
        <v>1207.08</v>
      </c>
      <c r="C93" s="7">
        <v>1214.74</v>
      </c>
      <c r="D93" s="7">
        <v>1220.43</v>
      </c>
      <c r="E93" s="7">
        <v>1225.8599999999999</v>
      </c>
      <c r="F93" s="7">
        <v>1229.22</v>
      </c>
      <c r="G93" s="7">
        <v>1230.8800000000001</v>
      </c>
      <c r="H93" s="7">
        <v>1232.33</v>
      </c>
      <c r="I93" s="7">
        <v>1242.8</v>
      </c>
      <c r="J93" s="7">
        <v>1248.47</v>
      </c>
      <c r="K93" s="7">
        <v>1251.4100000000001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74795C38-229D-4C9A-AACF-2294C2BACE46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9DB2-29CE-44AB-9BE7-006BCE52003B}">
  <sheetPr>
    <tabColor rgb="FFFF0000"/>
  </sheetPr>
  <dimension ref="B2:K8"/>
  <sheetViews>
    <sheetView workbookViewId="0">
      <selection activeCell="H18" sqref="H18"/>
    </sheetView>
  </sheetViews>
  <sheetFormatPr defaultRowHeight="14.5" x14ac:dyDescent="0.35"/>
  <cols>
    <col min="2" max="2" width="19" customWidth="1"/>
    <col min="3" max="3" width="11.08984375" customWidth="1"/>
    <col min="4" max="4" width="12.1796875" customWidth="1"/>
    <col min="5" max="5" width="11.81640625" customWidth="1"/>
    <col min="6" max="6" width="10.6328125" customWidth="1"/>
    <col min="7" max="7" width="11.6328125" customWidth="1"/>
    <col min="8" max="8" width="13.26953125" customWidth="1"/>
    <col min="9" max="9" width="10.36328125" customWidth="1"/>
    <col min="10" max="10" width="11.90625" customWidth="1"/>
    <col min="11" max="12" width="13.08984375" customWidth="1"/>
  </cols>
  <sheetData>
    <row r="2" spans="2:11" ht="29" x14ac:dyDescent="0.35">
      <c r="B2" s="96" t="s">
        <v>178</v>
      </c>
      <c r="C2" s="66" t="s">
        <v>135</v>
      </c>
      <c r="D2" s="97" t="s">
        <v>179</v>
      </c>
      <c r="E2" s="97" t="s">
        <v>180</v>
      </c>
      <c r="F2" s="97" t="s">
        <v>181</v>
      </c>
      <c r="G2" s="97" t="s">
        <v>136</v>
      </c>
      <c r="H2" s="97" t="s">
        <v>182</v>
      </c>
      <c r="I2" s="97" t="s">
        <v>183</v>
      </c>
      <c r="J2" s="97" t="s">
        <v>184</v>
      </c>
      <c r="K2" s="97" t="s">
        <v>185</v>
      </c>
    </row>
    <row r="4" spans="2:11" x14ac:dyDescent="0.35">
      <c r="B4" s="63">
        <v>1</v>
      </c>
      <c r="C4" s="64" t="s">
        <v>137</v>
      </c>
      <c r="D4" s="65">
        <v>2260.6</v>
      </c>
      <c r="E4" s="65">
        <v>64243</v>
      </c>
      <c r="F4" s="65">
        <v>531148.6</v>
      </c>
      <c r="G4" s="65">
        <v>50.21</v>
      </c>
      <c r="H4" s="65">
        <v>15860</v>
      </c>
      <c r="I4" s="65">
        <v>10671</v>
      </c>
      <c r="J4" s="65">
        <v>1775</v>
      </c>
      <c r="K4" s="65">
        <v>7554</v>
      </c>
    </row>
    <row r="5" spans="2:11" x14ac:dyDescent="0.35">
      <c r="B5" s="63">
        <v>3</v>
      </c>
      <c r="C5" s="64" t="s">
        <v>186</v>
      </c>
      <c r="D5" s="65">
        <v>1238.3</v>
      </c>
      <c r="E5" s="65">
        <v>21023.38</v>
      </c>
      <c r="F5" s="65">
        <v>238783.16</v>
      </c>
      <c r="G5" s="65">
        <v>79.75</v>
      </c>
      <c r="H5" s="65">
        <v>4830.1899999999996</v>
      </c>
      <c r="I5" s="65">
        <v>3314.5</v>
      </c>
      <c r="J5" s="65">
        <v>476.85</v>
      </c>
      <c r="K5" s="65">
        <v>95.65</v>
      </c>
    </row>
    <row r="6" spans="2:11" x14ac:dyDescent="0.35">
      <c r="B6" s="67">
        <v>4</v>
      </c>
      <c r="C6" s="66" t="s">
        <v>187</v>
      </c>
      <c r="D6" s="68">
        <v>479.95</v>
      </c>
      <c r="E6" s="68">
        <v>21169.75</v>
      </c>
      <c r="F6" s="68">
        <v>162318.54999999999</v>
      </c>
      <c r="G6" s="68">
        <v>54.66</v>
      </c>
      <c r="H6" s="68">
        <v>4933.96</v>
      </c>
      <c r="I6" s="68">
        <v>2634.28</v>
      </c>
      <c r="J6" s="68">
        <v>2138.25</v>
      </c>
      <c r="K6" s="68">
        <v>2450.0500000000002</v>
      </c>
    </row>
    <row r="7" spans="2:11" x14ac:dyDescent="0.35">
      <c r="B7" s="63">
        <v>5</v>
      </c>
      <c r="C7" s="64" t="s">
        <v>188</v>
      </c>
      <c r="D7" s="65">
        <v>5915.5</v>
      </c>
      <c r="E7" s="65">
        <v>18487.650000000001</v>
      </c>
      <c r="F7" s="65">
        <v>142485.64000000001</v>
      </c>
      <c r="G7" s="65">
        <v>61.5</v>
      </c>
      <c r="H7" s="65">
        <v>3402.26</v>
      </c>
      <c r="I7" s="65">
        <v>2177.86</v>
      </c>
      <c r="J7" s="65">
        <v>2196.3000000000002</v>
      </c>
      <c r="K7" s="65">
        <v>312.48</v>
      </c>
    </row>
    <row r="8" spans="2:11" x14ac:dyDescent="0.35">
      <c r="B8" s="67">
        <v>2</v>
      </c>
      <c r="C8" s="66" t="s">
        <v>138</v>
      </c>
      <c r="D8" s="68">
        <v>400.1</v>
      </c>
      <c r="E8" s="68">
        <v>78551.59</v>
      </c>
      <c r="F8" s="68">
        <v>501275.87</v>
      </c>
      <c r="G8" s="68">
        <v>24.85</v>
      </c>
      <c r="H8" s="68">
        <v>28479.56</v>
      </c>
      <c r="I8" s="68">
        <v>35052.480000000003</v>
      </c>
      <c r="J8" s="68">
        <v>362.97</v>
      </c>
      <c r="K8" s="68">
        <v>4012.36</v>
      </c>
    </row>
  </sheetData>
  <hyperlinks>
    <hyperlink ref="B2" r:id="rId1" display="https://www.screener.in/market/IN04/IN0401/?order=asc" xr:uid="{4DFD7DAB-2A2E-4652-B221-DDCAE5C7006E}"/>
    <hyperlink ref="C2" r:id="rId2" display="https://www.screener.in/market/IN04/IN0401/?sort=name&amp;order=desc" xr:uid="{92FD113D-AD8C-41D6-B8B0-58C06C209E44}"/>
    <hyperlink ref="D2" r:id="rId3" display="https://www.screener.in/market/IN04/IN0401/?sort=current+price&amp;order=desc" xr:uid="{035A99D8-2584-484D-8529-C7BFD6C799D6}"/>
    <hyperlink ref="E2" r:id="rId4" display="https://www.screener.in/market/IN04/IN0401/?sort=sales&amp;order=desc" xr:uid="{FDEB9C4B-5698-4941-8FD5-5BF9388F0033}"/>
    <hyperlink ref="F2" r:id="rId5" display="https://www.screener.in/market/IN04/IN0401/?sort=market+capitalization&amp;order=desc" xr:uid="{5371039F-C3AE-4135-87E3-20F1879C2DC2}"/>
    <hyperlink ref="G2" r:id="rId6" display="https://www.screener.in/market/IN04/IN0401/?sort=price+to+earning&amp;order=desc" xr:uid="{6967EFFD-0206-4B51-A894-A98912B61E4D}"/>
    <hyperlink ref="H2" r:id="rId7" display="https://www.screener.in/market/IN04/IN0401/?sort=ebidt+last+year&amp;order=desc" xr:uid="{AEEEE48C-FC42-41E9-9C8C-6763F79E2C43}"/>
    <hyperlink ref="I2" r:id="rId8" display="https://www.screener.in/market/IN04/IN0401/?sort=net+profit+last+year&amp;order=desc" xr:uid="{EF0210D3-3355-45F3-B7A7-0A5D3149B116}"/>
    <hyperlink ref="J2" r:id="rId9" display="https://www.screener.in/market/IN04/IN0401/?sort=debt&amp;order=desc" xr:uid="{289E21B4-F2F6-4736-B25E-80D6E9E2E6F9}"/>
    <hyperlink ref="K2" r:id="rId10" display="https://www.screener.in/market/IN04/IN0401/?sort=cash+end+of+last+year&amp;order=desc" xr:uid="{E3E5CFB6-442E-4EB5-A316-C713167FF4D2}"/>
    <hyperlink ref="C4" r:id="rId11" display="https://www.screener.in/company/HINDUNILVR/consolidated/" xr:uid="{EC9CDCAD-DA49-4CB0-8DB4-DCEE16E9C8ED}"/>
    <hyperlink ref="C8" r:id="rId12" display="https://www.screener.in/company/ITC/consolidated/" xr:uid="{2E0CFE80-9EDD-4A70-AF89-8457B676324D}"/>
    <hyperlink ref="C5" r:id="rId13" display="https://www.screener.in/company/NESTLEIND/" xr:uid="{E81BDA83-B48E-476B-9D86-7FA1F73D4102}"/>
    <hyperlink ref="C6" r:id="rId14" display="https://www.screener.in/company/VBL/consolidated/" xr:uid="{75F0D02C-AC20-4ABB-A847-10D201B6950B}"/>
    <hyperlink ref="C7" r:id="rId15" display="https://www.screener.in/company/BRITANNIA/consolidated/" xr:uid="{AB27A6A9-27C1-4A6C-A84A-EA46290A58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DCF Valuation </vt:lpstr>
      <vt:lpstr>Comps </vt:lpstr>
      <vt:lpstr>Data Sheet</vt:lpstr>
      <vt:lpstr>comps data</vt:lpstr>
      <vt:lpstr>Taper_rate</vt:lpstr>
      <vt:lpstr>Tax_Rate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Bhardwaj</dc:creator>
  <cp:lastModifiedBy>Atul Bhardwaj</cp:lastModifiedBy>
  <dcterms:created xsi:type="dcterms:W3CDTF">2025-12-13T13:32:16Z</dcterms:created>
  <dcterms:modified xsi:type="dcterms:W3CDTF">2025-12-15T07:54:17Z</dcterms:modified>
</cp:coreProperties>
</file>